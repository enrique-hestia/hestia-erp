
<file path=[Content_Types].xml><?xml version="1.0" encoding="utf-8"?>
<Types xmlns="http://schemas.openxmlformats.org/package/2006/content-types">
  <Default Extension="vml" ContentType="application/vnd.openxmlformats-officedocument.vmlDrawing"/>
  <Default Extension="xml" ContentType="application/xml"/>
  <Default Extension="png" ContentType="image/png"/>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commentsmeta0" ContentType="application/binary"/>
  <Override PartName="/xl/sharedStrings.xml" ContentType="application/vnd.openxmlformats-officedocument.spreadsheetml.sharedStrings+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comments1.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Tus productos" sheetId="1" r:id="rId4" state="visible"/>
    <sheet name="extra_data" sheetId="2" r:id="rId5" state="hidden"/>
    <sheet name="Tus secciones" sheetId="3" r:id="rId6" state="visible"/>
  </sheets>
  <definedNames/>
  <calcPr/>
  <extLst>
    <ext uri="GoogleSheetsCustomDataVersion2">
      <go:sheetsCustomData xmlns:go="http://customooxmlschemas.google.com/" r:id="rId7" roundtripDataChecksum="6mXLDucZ8a2cE4qr9Q8MZ4BcQcy9PU+CYXHuFdRSPl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
ID#AAAB3WvQUn8
Gabriel Gonzaga    (2026-02-12 16:15:51)
Nova coluna oculta que lista o iten_id de produtos que foram importados do catálogo.
Coluna deve ser bloqueada.</t>
      </text>
    </comment>
  </commentList>
  <extLst>
    <ext uri="GoogleSheetsCustomDataVersion2">
      <go:sheetsCustomData xmlns:go="http://customooxmlschemas.google.com/" r:id="rId1" roundtripDataSignature="AMtx7mjb++B/N1y3Gjy9KvfXVMy3pgLLAw=="/>
    </ext>
  </extLst>
</comments>
</file>

<file path=xl/sharedStrings.xml><?xml version="1.0" encoding="utf-8"?>
<sst xmlns="http://schemas.openxmlformats.org/spreadsheetml/2006/main" count="703" uniqueCount="703">
  <si>
    <r>
      <rPr>
        <rFont val="Proxima Nova"/>
        <b/>
        <color rgb="FF434CE4"/>
        <sz val="11"/>
      </rPr>
      <t xml:space="preserve">Instrucciones para completar la planilla:
</t>
    </r>
    <r>
      <rPr>
        <rFont val="Proxima Nova"/>
        <b/>
        <color rgb="FF282834"/>
      </rPr>
      <t xml:space="preserve">- Agrega </t>
    </r>
    <r>
      <rPr>
        <rFont val="Proxima Nova"/>
        <b/>
        <color rgb="FF282834"/>
      </rPr>
      <t>nuevos productos</t>
    </r>
    <r>
      <rPr>
        <rFont val="Proxima Nova"/>
        <b/>
        <color rgb="FF282834"/>
      </rPr>
      <t xml:space="preserve"> en las filas en blanco de la planilla.
- Cualquier modificación que hagas sobre los productos existentes, incluso si eliminas información, </t>
    </r>
    <r>
      <rPr>
        <rFont val="Proxima Nova"/>
        <b/>
      </rPr>
      <t>impactará en tu catálogo</t>
    </r>
    <r>
      <rPr>
        <rFont val="Proxima Nova"/>
        <b/>
        <color rgb="FF282834"/>
      </rPr>
      <t xml:space="preserve"> </t>
    </r>
    <r>
      <rPr>
        <rFont val="Proxima Nova"/>
        <b/>
        <color rgb="FF282834"/>
      </rPr>
      <t>después de enviar la planilla.</t>
    </r>
    <r>
      <rPr>
        <rFont val="Proxima Nova"/>
        <b/>
        <color rgb="FF282834"/>
      </rPr>
      <t xml:space="preserve">
</t>
    </r>
    <r>
      <rPr>
        <rFont val="Proxima Nova"/>
        <b/>
        <color rgb="FF282834"/>
      </rPr>
      <t xml:space="preserve">- Las unidades de medida de los productos importados </t>
    </r>
    <r>
      <rPr>
        <rFont val="Proxima Nova"/>
        <b/>
        <color rgb="FF282834"/>
      </rPr>
      <t xml:space="preserve">no pueden ser modificadas.
</t>
    </r>
    <r>
      <rPr>
        <rFont val="Proxima Nova"/>
        <b/>
        <color rgb="FF282834"/>
      </rPr>
      <t xml:space="preserve">- Eliminar una fila de la planilla </t>
    </r>
    <r>
      <rPr>
        <rFont val="Proxima Nova"/>
        <b/>
        <color rgb="FF282834"/>
      </rPr>
      <t>no elimina el producto</t>
    </r>
    <r>
      <rPr>
        <rFont val="Proxima Nova"/>
        <b/>
        <color rgb="FF282834"/>
      </rPr>
      <t xml:space="preserve"> de tu catálogo. Esto debe hacerse desde el sitio de Mercado Pago.
- Después de completar la planilla, envía el archivo desde la sección "Tus productos" o a través de </t>
    </r>
    <r>
      <rPr>
        <rFont val="Proxima Nova"/>
        <b/>
        <color rgb="FF1155CC"/>
        <u/>
      </rPr>
      <t>este link.</t>
    </r>
  </si>
  <si>
    <t>Obrigatório</t>
  </si>
  <si>
    <t>Opcional</t>
  </si>
  <si>
    <t>Obligatorio para emitir facturas</t>
  </si>
  <si>
    <t>Código interno</t>
  </si>
  <si>
    <t>Nombre del producto</t>
  </si>
  <si>
    <t>Precio de venta</t>
  </si>
  <si>
    <t>Unidad de medida</t>
  </si>
  <si>
    <t>Costo</t>
  </si>
  <si>
    <t>Margen de ganancia</t>
  </si>
  <si>
    <t>Código del produto (SKU)</t>
  </si>
  <si>
    <t>Stock</t>
  </si>
  <si>
    <t>Alerta de stock mínimo</t>
  </si>
  <si>
    <t>Sección</t>
  </si>
  <si>
    <t>EAN / GTIN</t>
  </si>
  <si>
    <t>IVA</t>
  </si>
  <si>
    <t>IEPS</t>
  </si>
  <si>
    <t>Clave del producto</t>
  </si>
  <si>
    <t>Verificación de errores</t>
  </si>
  <si>
    <t>"NO ELIMINE, MODIFIQUE NI COMPLETE ESTA COLUMNA</t>
  </si>
  <si>
    <t>Máximo de 60 caracteres.</t>
  </si>
  <si>
    <t xml:space="preserve">Sin el símbolo $. </t>
  </si>
  <si>
    <t>Elija la unidad que utilizará para vender y almacenar en el inventario. Si no lo indica, se utilizará "Unidad (u.)" como valor predeterminado.</t>
  </si>
  <si>
    <t>Se calcula automáticamente después de completar los campos Precio de venta y Costo.</t>
  </si>
  <si>
    <t>Ingresa un código SKU único por producto.</t>
  </si>
  <si>
    <t>Si dejas este campo vacío o ingresas el valor 0, se considera stock indefinido.</t>
  </si>
  <si>
    <t>Indica que la cantidad de su producto está baja en stock.</t>
  </si>
  <si>
    <t>En la hoja "Tus secciones" puedes crear secciones para agrupar tus productos. 
Crear secciones</t>
  </si>
  <si>
    <t>Este número tiene entre 8 y 14 dígitos y se encuentra junto al código de barras del producto.</t>
  </si>
  <si>
    <t>Porcentaje del Impuesto sobre el Valor Agregado que pagará tu comprador en cada producto.</t>
  </si>
  <si>
    <t>Porcentaje del Impuesto Especial sobre Producción y Servicios que pagará tu comprador en los productos de las categorías: gasolina, bebidas y tabaco.</t>
  </si>
  <si>
    <t>La clave del producto es un código estandarizado por el SAT. Consultar claves</t>
  </si>
  <si>
    <t>session_id</t>
  </si>
  <si>
    <t>template_id</t>
  </si>
  <si>
    <t>MLM_PUMOFF_DOCUMENT_WITH_FISCAL_DATA</t>
  </si>
  <si>
    <t>doc_version</t>
  </si>
  <si>
    <t>1.0.1</t>
  </si>
  <si>
    <r>
      <rPr>
        <rFont val="Proxima Nova"/>
        <b/>
        <color rgb="FF000000"/>
        <sz val="11"/>
      </rPr>
      <t xml:space="preserve">En esta hoja puedes crear secciones para organizar tu catálogo (Opcional) 
</t>
    </r>
    <r>
      <rPr>
        <rFont val="Proxima Nova"/>
        <color rgb="FF000000"/>
        <sz val="11"/>
      </rPr>
      <t xml:space="preserve">
1. Escribe el nombre de tu sección para crearla.
2. Automáticamente la encontrarás en la columna "Sección" de cada hoja para que puedas asignarla.
</t>
    </r>
    <r>
      <rPr>
        <rFont val="Proxima Nova"/>
        <b/>
        <color rgb="FF000000"/>
        <sz val="11"/>
      </rPr>
      <t>(Por favor, no modifiques o elimines las celdas de color gris)</t>
    </r>
  </si>
  <si>
    <t>Tus secciones</t>
  </si>
  <si>
    <t>MLM2415322675</t>
  </si>
  <si>
    <t>Cultivos Vaginales Hestia</t>
  </si>
  <si>
    <t>Unidad (u.)</t>
  </si>
  <si>
    <t>CULT-VagH</t>
  </si>
  <si>
    <t>Laboratorios</t>
  </si>
  <si>
    <t/>
  </si>
  <si>
    <t>Exento</t>
  </si>
  <si>
    <t>85121601</t>
  </si>
  <si>
    <t>0%</t>
  </si>
  <si>
    <t>MLM2415322679</t>
  </si>
  <si>
    <t>Perfil Lupus + Trombofilia</t>
  </si>
  <si>
    <t>Per-Lup-Tromb</t>
  </si>
  <si>
    <t>MLM3975395624</t>
  </si>
  <si>
    <t>Consulta Ginecología</t>
  </si>
  <si>
    <t>CGIN</t>
  </si>
  <si>
    <t>Consultas</t>
  </si>
  <si>
    <t>MLM2415386501</t>
  </si>
  <si>
    <t>Consulta Nutrición</t>
  </si>
  <si>
    <t>CNUT</t>
  </si>
  <si>
    <t>85121700</t>
  </si>
  <si>
    <t>MLM2415322677</t>
  </si>
  <si>
    <t>Perfil De Prueba Embarazo</t>
  </si>
  <si>
    <t>Perf-Emb</t>
  </si>
  <si>
    <t>MLM2415322681</t>
  </si>
  <si>
    <t>Coito Programado</t>
  </si>
  <si>
    <t>COIT</t>
  </si>
  <si>
    <t>Tratamientos</t>
  </si>
  <si>
    <t>85121600</t>
  </si>
  <si>
    <t>MLM2415386503</t>
  </si>
  <si>
    <t>Captura + Vitrificación (4 Cryotops)</t>
  </si>
  <si>
    <t>E-CAP</t>
  </si>
  <si>
    <t>Externos</t>
  </si>
  <si>
    <t>MLM2415360637</t>
  </si>
  <si>
    <t>Ana</t>
  </si>
  <si>
    <t>ANA</t>
  </si>
  <si>
    <t>MLM2415386511</t>
  </si>
  <si>
    <t>Factor Reumatoide</t>
  </si>
  <si>
    <t>FR</t>
  </si>
  <si>
    <t>MLM2415398893</t>
  </si>
  <si>
    <t>Inositol</t>
  </si>
  <si>
    <t>INO</t>
  </si>
  <si>
    <t>Suplementos</t>
  </si>
  <si>
    <t>MLM2415386509</t>
  </si>
  <si>
    <t>Histeroscopía Con Energía</t>
  </si>
  <si>
    <t>E-HIST-E</t>
  </si>
  <si>
    <t>MLM2415386507</t>
  </si>
  <si>
    <t>Anti Hbsag</t>
  </si>
  <si>
    <t>Anti HBsAg</t>
  </si>
  <si>
    <t>MLM2415386505</t>
  </si>
  <si>
    <t>Dhea-s</t>
  </si>
  <si>
    <t>DHEA-S</t>
  </si>
  <si>
    <t>MLM2415398895</t>
  </si>
  <si>
    <t>Histeroscopía Simple</t>
  </si>
  <si>
    <t>E-HIST</t>
  </si>
  <si>
    <t>MLM3975446858</t>
  </si>
  <si>
    <t>Ets Cultivo Hestia</t>
  </si>
  <si>
    <t>ETS-H</t>
  </si>
  <si>
    <t>MLM3975446860</t>
  </si>
  <si>
    <t>Perfil Prep. Endometrial</t>
  </si>
  <si>
    <t>Perf-Prep-End</t>
  </si>
  <si>
    <t>MLM2415436775</t>
  </si>
  <si>
    <t>Histeroscopia</t>
  </si>
  <si>
    <t>HIST</t>
  </si>
  <si>
    <t>MLM3974788388</t>
  </si>
  <si>
    <t>Fertilización In Vitro + Transfer</t>
  </si>
  <si>
    <t>IVF+T</t>
  </si>
  <si>
    <t>MLM2415411671</t>
  </si>
  <si>
    <t>Perfil Tiroides C/ac</t>
  </si>
  <si>
    <t>Per-T4Ac</t>
  </si>
  <si>
    <t>MLM2415335119</t>
  </si>
  <si>
    <t>Tsh</t>
  </si>
  <si>
    <t>TSH</t>
  </si>
  <si>
    <t>MLM2415347499</t>
  </si>
  <si>
    <t>Alfa Fetoproteina</t>
  </si>
  <si>
    <t>A-Fet</t>
  </si>
  <si>
    <t>MLM3975446862</t>
  </si>
  <si>
    <t>1,25 Hidroxi Vitamina D3</t>
  </si>
  <si>
    <t>1,25D3</t>
  </si>
  <si>
    <t>MLM2415347501</t>
  </si>
  <si>
    <t>Captura + Icsi Transferencia En Fresco + Vitrificación +fet</t>
  </si>
  <si>
    <t>E-CAP-ICSI-TF-VIT-FET</t>
  </si>
  <si>
    <t>MLM2415411673</t>
  </si>
  <si>
    <t>Dhea</t>
  </si>
  <si>
    <t>DHEA</t>
  </si>
  <si>
    <t>MLM3975395626</t>
  </si>
  <si>
    <t>Exudado</t>
  </si>
  <si>
    <t>EXU</t>
  </si>
  <si>
    <t>MLM3975446866</t>
  </si>
  <si>
    <t>Perfil De Marcadores Tumorales De Mama</t>
  </si>
  <si>
    <t>Perf-TUM-MA</t>
  </si>
  <si>
    <t>MLM2415322685</t>
  </si>
  <si>
    <t>Ca 15-3</t>
  </si>
  <si>
    <t>CA 15-3</t>
  </si>
  <si>
    <t>MLM2415347503</t>
  </si>
  <si>
    <t>Perfil Prequirurgico (coagulograma)</t>
  </si>
  <si>
    <t>Perf-Qx</t>
  </si>
  <si>
    <t>MLM3975446868</t>
  </si>
  <si>
    <t>Perfil Hierro</t>
  </si>
  <si>
    <t>Perf-Fe</t>
  </si>
  <si>
    <t>MLM2415335121</t>
  </si>
  <si>
    <t>Formación De Embriones Con Óvulos Congelados</t>
  </si>
  <si>
    <t>FEOC</t>
  </si>
  <si>
    <t>MLM2415398897</t>
  </si>
  <si>
    <t>Prot S</t>
  </si>
  <si>
    <t>MLM2415386513</t>
  </si>
  <si>
    <t>Ebd + Fragmentación De Adn Espermático</t>
  </si>
  <si>
    <t>EDB +Fr</t>
  </si>
  <si>
    <t>MLM3975383080</t>
  </si>
  <si>
    <t>Estimulación Ovárica Controlada</t>
  </si>
  <si>
    <t>MON-MEDS</t>
  </si>
  <si>
    <t>85101502</t>
  </si>
  <si>
    <t>MLM2415386515</t>
  </si>
  <si>
    <t>Captura + Icsi + Transferencia Sin Vitrificación</t>
  </si>
  <si>
    <t>E-CAP-ICSI-TF</t>
  </si>
  <si>
    <t>MLM2415347505</t>
  </si>
  <si>
    <t>Fsh</t>
  </si>
  <si>
    <t>FSH</t>
  </si>
  <si>
    <t>MLM2415360643</t>
  </si>
  <si>
    <t>Tiempo De Tromboplastina Parcial Activada (ttpa)</t>
  </si>
  <si>
    <t>TTTPa</t>
  </si>
  <si>
    <t>MLM2415322687</t>
  </si>
  <si>
    <t>Captura + Icsi + Vitrificación (4 Cryotops)</t>
  </si>
  <si>
    <t>E-CAP-ICSI-VIT</t>
  </si>
  <si>
    <t>MLM2415449409</t>
  </si>
  <si>
    <t>Vrdl</t>
  </si>
  <si>
    <t>VRDL</t>
  </si>
  <si>
    <t>MLM2415373685</t>
  </si>
  <si>
    <t>Test Total T Libre</t>
  </si>
  <si>
    <t>Test-TL</t>
  </si>
  <si>
    <t>MLM2415398899</t>
  </si>
  <si>
    <t>Homa</t>
  </si>
  <si>
    <t>HOMA</t>
  </si>
  <si>
    <t>MLM3975395628</t>
  </si>
  <si>
    <t>Pgt-a / Embrión</t>
  </si>
  <si>
    <t>PGT-A</t>
  </si>
  <si>
    <t>Complementos</t>
  </si>
  <si>
    <t>MLM3974788392</t>
  </si>
  <si>
    <t>Perfil De Lupus</t>
  </si>
  <si>
    <t>Perf-LUP</t>
  </si>
  <si>
    <t>MLM2415411677</t>
  </si>
  <si>
    <t>Anti-la</t>
  </si>
  <si>
    <t>Anti-La</t>
  </si>
  <si>
    <t>MLM2415322689</t>
  </si>
  <si>
    <t>Cariotipo (pareja)</t>
  </si>
  <si>
    <t>CAR-2</t>
  </si>
  <si>
    <t>MLM2415411679</t>
  </si>
  <si>
    <t>Anti B2gp1 Igg</t>
  </si>
  <si>
    <t>AntiB2-G</t>
  </si>
  <si>
    <t>MLM3975446870</t>
  </si>
  <si>
    <t>Proteina C Reactiva</t>
  </si>
  <si>
    <t>PcR</t>
  </si>
  <si>
    <t>MLM2415335123</t>
  </si>
  <si>
    <t>Desvitrificación Y Vitrificación</t>
  </si>
  <si>
    <t>E-DES-VIT</t>
  </si>
  <si>
    <t>MLM2415322691</t>
  </si>
  <si>
    <t>Perfil De Marcadores Tumorales De Ovario</t>
  </si>
  <si>
    <t>Perf-TUM-OV</t>
  </si>
  <si>
    <t>MLM2415398901</t>
  </si>
  <si>
    <t>Antitrombina Iii</t>
  </si>
  <si>
    <t>Anti-TB</t>
  </si>
  <si>
    <t>MLM2415424407</t>
  </si>
  <si>
    <t>Ca 125</t>
  </si>
  <si>
    <t>CA 125</t>
  </si>
  <si>
    <t>MLM2415436777</t>
  </si>
  <si>
    <t>Captura + Icsi Sin Transferencia Sin Vitrificación</t>
  </si>
  <si>
    <t>E-CAP-ICSI</t>
  </si>
  <si>
    <t>MLM2415411683</t>
  </si>
  <si>
    <t>Urocultivo</t>
  </si>
  <si>
    <t>CUL-UR</t>
  </si>
  <si>
    <t>MLM2415335125</t>
  </si>
  <si>
    <t>Anti B2gp1 Igm</t>
  </si>
  <si>
    <t>AntiB2-M</t>
  </si>
  <si>
    <t>MLM2415322693</t>
  </si>
  <si>
    <t>Perfil De Estudios Basales</t>
  </si>
  <si>
    <t>Perf-Bas</t>
  </si>
  <si>
    <t>MLM2415411685</t>
  </si>
  <si>
    <t>Coq10</t>
  </si>
  <si>
    <t>CoQ</t>
  </si>
  <si>
    <t>MLM3975383084</t>
  </si>
  <si>
    <t>Capacitación Espermática</t>
  </si>
  <si>
    <t>Cap-Sperm</t>
  </si>
  <si>
    <t>MLM2415322695</t>
  </si>
  <si>
    <t>17-oh Prog</t>
  </si>
  <si>
    <t>17-OH Prog</t>
  </si>
  <si>
    <t>MLM2415424409</t>
  </si>
  <si>
    <t>Anti Hep C</t>
  </si>
  <si>
    <t>MLM2415436783</t>
  </si>
  <si>
    <t>Test Total</t>
  </si>
  <si>
    <t>Test-T</t>
  </si>
  <si>
    <t>MLM2415436781</t>
  </si>
  <si>
    <t>Biopsia Testicular</t>
  </si>
  <si>
    <t>BiopsT</t>
  </si>
  <si>
    <t>MLM2415436785</t>
  </si>
  <si>
    <t>Prenatal</t>
  </si>
  <si>
    <t>PRE-N</t>
  </si>
  <si>
    <t>MLM2415436787</t>
  </si>
  <si>
    <t>Desvitrificación De Semen</t>
  </si>
  <si>
    <t>E-DES-SPERM</t>
  </si>
  <si>
    <t>MLM2415335127</t>
  </si>
  <si>
    <t>Prueba De Embarazo Beta Cuantitativa</t>
  </si>
  <si>
    <t>P-EMB-CT</t>
  </si>
  <si>
    <t>MLM2415360645</t>
  </si>
  <si>
    <t>Sangre Oculta En Heces</t>
  </si>
  <si>
    <t>HB-Heces</t>
  </si>
  <si>
    <t>MLM2415373689</t>
  </si>
  <si>
    <t>Transferencia De Embriones Congelados Preparación</t>
  </si>
  <si>
    <t>FET-Prep</t>
  </si>
  <si>
    <t>MLM2415386517</t>
  </si>
  <si>
    <t>Dhl</t>
  </si>
  <si>
    <t>DHL</t>
  </si>
  <si>
    <t>MLM3975395630</t>
  </si>
  <si>
    <t>Consulta Genética</t>
  </si>
  <si>
    <t>CGEN</t>
  </si>
  <si>
    <t>MLM2415436789</t>
  </si>
  <si>
    <t>Traslado Y Recepción De Células</t>
  </si>
  <si>
    <t>E-REC-C</t>
  </si>
  <si>
    <t>MLM3974788394</t>
  </si>
  <si>
    <t>Cryotop Extra</t>
  </si>
  <si>
    <t>E-CRYT</t>
  </si>
  <si>
    <t>MLM2415411687</t>
  </si>
  <si>
    <t>Diu Hormonal</t>
  </si>
  <si>
    <t>DIU-H</t>
  </si>
  <si>
    <t>MLM3974788396</t>
  </si>
  <si>
    <t>Consulta Acupuntura</t>
  </si>
  <si>
    <t>CACU</t>
  </si>
  <si>
    <t>85121705</t>
  </si>
  <si>
    <t>MLM2415449413</t>
  </si>
  <si>
    <t>Implanon</t>
  </si>
  <si>
    <t>IMPl</t>
  </si>
  <si>
    <t>MLM2415424411</t>
  </si>
  <si>
    <t>C4</t>
  </si>
  <si>
    <t>MLM2415360647</t>
  </si>
  <si>
    <t>Test L</t>
  </si>
  <si>
    <t>Test-L</t>
  </si>
  <si>
    <t>MLM2415411689</t>
  </si>
  <si>
    <t>Selenium</t>
  </si>
  <si>
    <t>SEL</t>
  </si>
  <si>
    <t>MLM2415347507</t>
  </si>
  <si>
    <t>Optimized Folate</t>
  </si>
  <si>
    <t>FOL</t>
  </si>
  <si>
    <t>MLM2415449415</t>
  </si>
  <si>
    <t>Anticardiolipinas Igg/igm</t>
  </si>
  <si>
    <t>Anti-IgG</t>
  </si>
  <si>
    <t>MLM2415360649</t>
  </si>
  <si>
    <t>Panorama Extendido</t>
  </si>
  <si>
    <t>PAN-Ext</t>
  </si>
  <si>
    <t>MLM2415424413</t>
  </si>
  <si>
    <t>Anti Lupico</t>
  </si>
  <si>
    <t>Anti-Lup</t>
  </si>
  <si>
    <t>MLM2415411691</t>
  </si>
  <si>
    <t>Perfil Hestia 2 (sin Anticuerpos)</t>
  </si>
  <si>
    <t>Perf-2</t>
  </si>
  <si>
    <t>MLM2415398903</t>
  </si>
  <si>
    <t>Pai-1</t>
  </si>
  <si>
    <t>PAI-1</t>
  </si>
  <si>
    <t>MLM2415373691</t>
  </si>
  <si>
    <t>Ego</t>
  </si>
  <si>
    <t>EGO</t>
  </si>
  <si>
    <t>MLM3975446872</t>
  </si>
  <si>
    <t>Tiempo De Protrombina (tp)</t>
  </si>
  <si>
    <t>TP</t>
  </si>
  <si>
    <t>MLM3975383086</t>
  </si>
  <si>
    <t>Consulta Fertilidad</t>
  </si>
  <si>
    <t>CFER</t>
  </si>
  <si>
    <t>MLM3975383088</t>
  </si>
  <si>
    <t>Perfil Tiroides S/ac</t>
  </si>
  <si>
    <t>Perf-T4</t>
  </si>
  <si>
    <t>MLM2415335129</t>
  </si>
  <si>
    <t>Cultivo De Exudado Vaginal</t>
  </si>
  <si>
    <t>CUL-EX</t>
  </si>
  <si>
    <t>MLM2415436791</t>
  </si>
  <si>
    <t>Anticardio Igg</t>
  </si>
  <si>
    <t>AntiC-G</t>
  </si>
  <si>
    <t>MLM3975383090</t>
  </si>
  <si>
    <t>Diu De Plata</t>
  </si>
  <si>
    <t>DIU-Ag</t>
  </si>
  <si>
    <t>MLM2415424415</t>
  </si>
  <si>
    <t>Lh</t>
  </si>
  <si>
    <t>LH</t>
  </si>
  <si>
    <t>MLM2415360651</t>
  </si>
  <si>
    <t>Omega 3</t>
  </si>
  <si>
    <t>O3</t>
  </si>
  <si>
    <t>MLM2415373693</t>
  </si>
  <si>
    <t>Vitamina D3</t>
  </si>
  <si>
    <t>D3</t>
  </si>
  <si>
    <t>MLM2415398907</t>
  </si>
  <si>
    <t>Perfil Hestia 1 (con Anticuerpos)</t>
  </si>
  <si>
    <t>Perf-1</t>
  </si>
  <si>
    <t>MLM2415424417</t>
  </si>
  <si>
    <t>Pcr Vph</t>
  </si>
  <si>
    <t>PCR-VPH</t>
  </si>
  <si>
    <t>MLM2415424419</t>
  </si>
  <si>
    <t>Perfil Torch Igg E Igm</t>
  </si>
  <si>
    <t>TORCH-GM</t>
  </si>
  <si>
    <t>MLM2415424421</t>
  </si>
  <si>
    <t>C3</t>
  </si>
  <si>
    <t>MLM2415436793</t>
  </si>
  <si>
    <t>Anti Dna</t>
  </si>
  <si>
    <t>Anti-DNA</t>
  </si>
  <si>
    <t>MLM3975446874</t>
  </si>
  <si>
    <t>Tipo De Sangre</t>
  </si>
  <si>
    <t>Tip-S</t>
  </si>
  <si>
    <t>MLM3974788398</t>
  </si>
  <si>
    <t>Horizon 613-835</t>
  </si>
  <si>
    <t>Horizon</t>
  </si>
  <si>
    <t>MLM2415347509</t>
  </si>
  <si>
    <t>Chlamydia Trachomatis Y Neisseria Gonorrhoeae Por Pcr</t>
  </si>
  <si>
    <t>PCR-CN</t>
  </si>
  <si>
    <t>MLM2415360653</t>
  </si>
  <si>
    <t>Antigeno Carcinoembrionario</t>
  </si>
  <si>
    <t>Anti-CAemb</t>
  </si>
  <si>
    <t>MLM2415411693</t>
  </si>
  <si>
    <t>Genotipificación Vph</t>
  </si>
  <si>
    <t>GEN-VPH</t>
  </si>
  <si>
    <t>MLM2415398909</t>
  </si>
  <si>
    <t>Panel De Enfermedades De Transmisión Sexual Por Pcr</t>
  </si>
  <si>
    <t>PCR-ETS</t>
  </si>
  <si>
    <t>MLM2415436795</t>
  </si>
  <si>
    <t>Cultivo Mycoplasma Y Ureaplasma</t>
  </si>
  <si>
    <t>CUL-MU</t>
  </si>
  <si>
    <t>MLM2415398911</t>
  </si>
  <si>
    <t>Prolactina</t>
  </si>
  <si>
    <t>PRO</t>
  </si>
  <si>
    <t>MLM3974788400</t>
  </si>
  <si>
    <t>Espermatobioscopía</t>
  </si>
  <si>
    <t>EBD</t>
  </si>
  <si>
    <t>MLM2415398913</t>
  </si>
  <si>
    <t>Zinc</t>
  </si>
  <si>
    <t>ZINC</t>
  </si>
  <si>
    <t>MLM3975395632</t>
  </si>
  <si>
    <t>Cariotipo (una Persona)</t>
  </si>
  <si>
    <t>CAR-1</t>
  </si>
  <si>
    <t>MLM3975383092</t>
  </si>
  <si>
    <t>Papanicolaou</t>
  </si>
  <si>
    <t>PAP</t>
  </si>
  <si>
    <t>MLM2415322697</t>
  </si>
  <si>
    <t>Anticardio Igm</t>
  </si>
  <si>
    <t>AntiC-M</t>
  </si>
  <si>
    <t>MLM2415411695</t>
  </si>
  <si>
    <t>Vih 1/2</t>
  </si>
  <si>
    <t>VIH</t>
  </si>
  <si>
    <t>MLM2415398915</t>
  </si>
  <si>
    <t>Inseminación Intrauterina Procedimiento</t>
  </si>
  <si>
    <t>IIU</t>
  </si>
  <si>
    <t>MLM3974788402</t>
  </si>
  <si>
    <t>Desvitrificación + Transferencia De Embriones</t>
  </si>
  <si>
    <t>E-FET</t>
  </si>
  <si>
    <t>MLM3975446876</t>
  </si>
  <si>
    <t>Perfil De Marcadores Tumorales Femenino</t>
  </si>
  <si>
    <t>Perf-TUM-Fem</t>
  </si>
  <si>
    <t>MLM2415360655</t>
  </si>
  <si>
    <t>Homocisteína</t>
  </si>
  <si>
    <t>HOMOc</t>
  </si>
  <si>
    <t>MLM2415424423</t>
  </si>
  <si>
    <t>Transferencia De Embriones Congelados Procedimiento</t>
  </si>
  <si>
    <t>FET</t>
  </si>
  <si>
    <t>MLM2415411697</t>
  </si>
  <si>
    <t>Bh</t>
  </si>
  <si>
    <t>BH</t>
  </si>
  <si>
    <t>MLM3974788404</t>
  </si>
  <si>
    <t>Anti-ro</t>
  </si>
  <si>
    <t>Anti-Ro</t>
  </si>
  <si>
    <t>MLM2415424425</t>
  </si>
  <si>
    <t>Química Sanguinea De 35 Elementos</t>
  </si>
  <si>
    <t>QS35</t>
  </si>
  <si>
    <t>MLM2415398917</t>
  </si>
  <si>
    <t>Consulta Psicología</t>
  </si>
  <si>
    <t>CPSI</t>
  </si>
  <si>
    <t>85121701</t>
  </si>
  <si>
    <t>MLM2415335131</t>
  </si>
  <si>
    <t>Magenta</t>
  </si>
  <si>
    <t>MLM3974788406</t>
  </si>
  <si>
    <t>Histerosonografía</t>
  </si>
  <si>
    <t>HIST-Son</t>
  </si>
  <si>
    <t>MLM2415335133</t>
  </si>
  <si>
    <t>Prot C</t>
  </si>
  <si>
    <t>MLM2415411699</t>
  </si>
  <si>
    <t>Ham</t>
  </si>
  <si>
    <t>HAM</t>
  </si>
  <si>
    <t>MLM2415335135</t>
  </si>
  <si>
    <t>Cateter Check</t>
  </si>
  <si>
    <t>Cat-Check</t>
  </si>
  <si>
    <t>MLM3974788408</t>
  </si>
  <si>
    <t>Serologias Ivf</t>
  </si>
  <si>
    <t>Ser-IVF</t>
  </si>
  <si>
    <t>MLM3975395636</t>
  </si>
  <si>
    <t>Mthfr</t>
  </si>
  <si>
    <t>MTHFR</t>
  </si>
  <si>
    <t>MLM2415322699</t>
  </si>
  <si>
    <t>Fertilización In Vitro</t>
  </si>
  <si>
    <t>IVF</t>
  </si>
  <si>
    <t>MLM2415335137</t>
  </si>
  <si>
    <t>Congelamiento De Esperma</t>
  </si>
  <si>
    <t>SF</t>
  </si>
  <si>
    <t>MLM2415373695</t>
  </si>
  <si>
    <t>Desvitrif + Fert De Óvulos + Transfer Sin Vitrificación</t>
  </si>
  <si>
    <t>E-DES-ICSI-TF</t>
  </si>
  <si>
    <t>MLM2415335139</t>
  </si>
  <si>
    <t>Inseminación Intrauterina Estimulación</t>
  </si>
  <si>
    <t>IIU-Est</t>
  </si>
  <si>
    <t>MLM2415347513</t>
  </si>
  <si>
    <t>P4</t>
  </si>
  <si>
    <t>MLM2415436799</t>
  </si>
  <si>
    <t>Ca19-9</t>
  </si>
  <si>
    <t>CA19-9</t>
  </si>
  <si>
    <t>MLM3975383098</t>
  </si>
  <si>
    <t>Lavado Folicular</t>
  </si>
  <si>
    <t>E-LAV-Fol</t>
  </si>
  <si>
    <t>MLM3974788410</t>
  </si>
  <si>
    <t>Factor V</t>
  </si>
  <si>
    <t>FACT-V</t>
  </si>
  <si>
    <t>MLM3974788412</t>
  </si>
  <si>
    <t>Congelamiento De Óvulos</t>
  </si>
  <si>
    <t>EF</t>
  </si>
  <si>
    <t>MLM3975395640</t>
  </si>
  <si>
    <t>Captura + Icsi +transferencia En Fresco + Vitrificación</t>
  </si>
  <si>
    <t>E-CAP-ICSI-TF-VIT</t>
  </si>
  <si>
    <t>MLM2415322701</t>
  </si>
  <si>
    <t>E2</t>
  </si>
  <si>
    <t>MLM3975383100</t>
  </si>
  <si>
    <t>Panorama Básico</t>
  </si>
  <si>
    <t>PAN</t>
  </si>
  <si>
    <t>MLM2415449417</t>
  </si>
  <si>
    <t>Perfil Trombótico</t>
  </si>
  <si>
    <t>Perf-TROMB</t>
  </si>
  <si>
    <t>MLM3975446880</t>
  </si>
  <si>
    <t>Anti-ribonucleo</t>
  </si>
  <si>
    <t>Anti-rDNA</t>
  </si>
  <si>
    <t>MLM3974788414</t>
  </si>
  <si>
    <t>Violet</t>
  </si>
  <si>
    <t>MLM2415373699</t>
  </si>
  <si>
    <t>Desvitrif + Fert De Óvulos + Transfer+ Vitrificación</t>
  </si>
  <si>
    <t>E-DES-ICSI-TF-VIT</t>
  </si>
  <si>
    <t>MLM2415424429</t>
  </si>
  <si>
    <t>Hemoglobina Glicosilada</t>
  </si>
  <si>
    <t>HbGc</t>
  </si>
  <si>
    <t>MLM3975383102</t>
  </si>
  <si>
    <t>Captura Sin Ovocitos</t>
  </si>
  <si>
    <t>E-CAP-0</t>
  </si>
  <si>
    <t>MLM3975395642</t>
  </si>
  <si>
    <t>Ultrasonido</t>
  </si>
  <si>
    <t>USG</t>
  </si>
  <si>
    <t>MLM2415436805</t>
  </si>
  <si>
    <t>Cultivos De Esperma</t>
  </si>
  <si>
    <t>Cul-Serm</t>
  </si>
  <si>
    <t>MLM2421414531</t>
  </si>
  <si>
    <t>Cetrotide</t>
  </si>
  <si>
    <t>Medicamentos</t>
  </si>
  <si>
    <t>MLM4011639884</t>
  </si>
  <si>
    <t>Consulta De Fertilidad Descontada</t>
  </si>
  <si>
    <t>MLM4011640450</t>
  </si>
  <si>
    <t>Consulta Online Fert</t>
  </si>
  <si>
    <t>MLM4011614350</t>
  </si>
  <si>
    <t>Consulta De Seguimiento</t>
  </si>
  <si>
    <t>MLM4011563184</t>
  </si>
  <si>
    <t>Letrozol Blister</t>
  </si>
  <si>
    <t>MLM4011588938</t>
  </si>
  <si>
    <t>Consulta Obstétrica</t>
  </si>
  <si>
    <t>MLM4011653816</t>
  </si>
  <si>
    <t>Geslutin 400</t>
  </si>
  <si>
    <t>MLM4054424308</t>
  </si>
  <si>
    <t>Mantenimiento Congelamiento</t>
  </si>
  <si>
    <t>Mtto-C</t>
  </si>
  <si>
    <t>MLM4054851930</t>
  </si>
  <si>
    <t>Ovidrel</t>
  </si>
  <si>
    <t>M-Ovid</t>
  </si>
  <si>
    <t>MLM4066042422</t>
  </si>
  <si>
    <t>Vacuna Gardasil 9 Vph</t>
  </si>
  <si>
    <t>VACVPH</t>
  </si>
  <si>
    <t>MLM4065940904</t>
  </si>
  <si>
    <t>Vacuna Vph Gardasil 9</t>
  </si>
  <si>
    <t>VPHVAC</t>
  </si>
  <si>
    <t>MLM2452322115</t>
  </si>
  <si>
    <t>Pach Estimulación Ovárica Controlada</t>
  </si>
  <si>
    <t>PACH-MON-MED</t>
  </si>
  <si>
    <t>MLM2455264577</t>
  </si>
  <si>
    <t>Pach Congelamiento De Óvulos</t>
  </si>
  <si>
    <t>PACH-EF</t>
  </si>
  <si>
    <t>MLM2455174593</t>
  </si>
  <si>
    <t>10% Estimulación Ovárica Controlada</t>
  </si>
  <si>
    <t>10-EST-MON</t>
  </si>
  <si>
    <t>MLM2455161681</t>
  </si>
  <si>
    <t>10% Fertilización In Vitro + Transfer</t>
  </si>
  <si>
    <t>10-IVF-T</t>
  </si>
  <si>
    <t>MLM2455304585</t>
  </si>
  <si>
    <t>15% Fertilización In Vitro</t>
  </si>
  <si>
    <t>15-IVF</t>
  </si>
  <si>
    <t>MLM2455200409</t>
  </si>
  <si>
    <t>15% Fertilización In Vitro + Transfer</t>
  </si>
  <si>
    <t>15-IVF-T</t>
  </si>
  <si>
    <t>MLM2455304587</t>
  </si>
  <si>
    <t>15% Estimulación Ovárica Controlada</t>
  </si>
  <si>
    <t>15-EST-MON</t>
  </si>
  <si>
    <t>MLM2455278501</t>
  </si>
  <si>
    <t>10% Fertilización In Vitro</t>
  </si>
  <si>
    <t>10-IVF</t>
  </si>
  <si>
    <t>MLM2458298391</t>
  </si>
  <si>
    <t>Recepción O Traslado De Muestra Biológica</t>
  </si>
  <si>
    <t>TRAS</t>
  </si>
  <si>
    <t>MLM2510087977</t>
  </si>
  <si>
    <t>Lectrum</t>
  </si>
  <si>
    <t>MLM2524269869</t>
  </si>
  <si>
    <t>Histeroscopia En Tratamiento</t>
  </si>
  <si>
    <t>HIST-TRAT</t>
  </si>
  <si>
    <t>MLM2524153857</t>
  </si>
  <si>
    <t>Estudio De Patología</t>
  </si>
  <si>
    <t>PATO</t>
  </si>
  <si>
    <t>MLM2541105741</t>
  </si>
  <si>
    <t>Resección De Tejido</t>
  </si>
  <si>
    <t>RESEC-TEJ</t>
  </si>
  <si>
    <t>MLM2576859127</t>
  </si>
  <si>
    <t>Pgt-m</t>
  </si>
  <si>
    <t>PGTM</t>
  </si>
  <si>
    <t>MLM2590613131</t>
  </si>
  <si>
    <t>Papanicolaou Al Costo</t>
  </si>
  <si>
    <t>Pacientes Fer</t>
  </si>
  <si>
    <t>MLM4481921156</t>
  </si>
  <si>
    <t>Insulina Sérica</t>
  </si>
  <si>
    <t>INSUL</t>
  </si>
  <si>
    <t>MLM2611641825</t>
  </si>
  <si>
    <t>Ferritina</t>
  </si>
  <si>
    <t>Ferri</t>
  </si>
  <si>
    <t>MLM4481986192</t>
  </si>
  <si>
    <t>Cortisol</t>
  </si>
  <si>
    <t>Cort</t>
  </si>
  <si>
    <t>MLM4507825630</t>
  </si>
  <si>
    <t>Honorarios Médicos</t>
  </si>
  <si>
    <t>HON-MED</t>
  </si>
  <si>
    <t>16%</t>
  </si>
  <si>
    <t>MLM2628629821</t>
  </si>
  <si>
    <t>Perfil Hestia + Perfil Qx</t>
  </si>
  <si>
    <t>L-PerfHyPrQx</t>
  </si>
  <si>
    <t>MLM4534532504</t>
  </si>
  <si>
    <t>Perfil Hepatitis Y Función Hepatica</t>
  </si>
  <si>
    <t>MLM4640973266</t>
  </si>
  <si>
    <t>Evaluación En Pareja</t>
  </si>
  <si>
    <t>CFERPAR</t>
  </si>
  <si>
    <t>MLM4640973330</t>
  </si>
  <si>
    <t>Evaluación En Pareja 50%</t>
  </si>
  <si>
    <t>CFERTPARDESC</t>
  </si>
  <si>
    <t>MLM4665144736</t>
  </si>
  <si>
    <t>Panorama Surrogacy</t>
  </si>
  <si>
    <t>S-PAN</t>
  </si>
  <si>
    <t>Surrogacy</t>
  </si>
  <si>
    <t>MLM4665542046</t>
  </si>
  <si>
    <t>Carrier Screen (horizon 613)</t>
  </si>
  <si>
    <t>S-DCarScr</t>
  </si>
  <si>
    <t>MLM4665183778</t>
  </si>
  <si>
    <t>Sperm Vitrification</t>
  </si>
  <si>
    <t>S-SVit</t>
  </si>
  <si>
    <t>MLM4665313182</t>
  </si>
  <si>
    <t>Art Lab Cycle (frozen Sample)</t>
  </si>
  <si>
    <t>S-ARTFzSperm</t>
  </si>
  <si>
    <t>MLM4665170822</t>
  </si>
  <si>
    <t>Consultation</t>
  </si>
  <si>
    <t>S-Consult</t>
  </si>
  <si>
    <t>MLM4665313184</t>
  </si>
  <si>
    <t>Donor Bloodwork</t>
  </si>
  <si>
    <t>S-DBW</t>
  </si>
  <si>
    <t>MLM4665300574</t>
  </si>
  <si>
    <t>Endometrial Prep</t>
  </si>
  <si>
    <t>S-EndPrepPck</t>
  </si>
  <si>
    <t>MLM4665313186</t>
  </si>
  <si>
    <t>Amh</t>
  </si>
  <si>
    <t>S-DAMH</t>
  </si>
  <si>
    <t>MLM4665066820</t>
  </si>
  <si>
    <t>Frozen Embryo Transfer</t>
  </si>
  <si>
    <t>S-FET</t>
  </si>
  <si>
    <t>MLM4665235888</t>
  </si>
  <si>
    <t>Sperm Analysis</t>
  </si>
  <si>
    <t>S-EBD</t>
  </si>
  <si>
    <t>MLM4665053930</t>
  </si>
  <si>
    <t>Embryo Formation (frozen Eggs)</t>
  </si>
  <si>
    <t>S-EmbForm</t>
  </si>
  <si>
    <t>MLM4665287460</t>
  </si>
  <si>
    <t>Art Lab Cycle (fresh Sample)</t>
  </si>
  <si>
    <t>S-ARTFsSperm</t>
  </si>
  <si>
    <t>MLM4665287462</t>
  </si>
  <si>
    <t>Pgt-a Embryo</t>
  </si>
  <si>
    <t>S-PGTA</t>
  </si>
  <si>
    <t>MLM4665235890</t>
  </si>
  <si>
    <t>Bloodwork Carrier</t>
  </si>
  <si>
    <t>S-BWCar</t>
  </si>
  <si>
    <t>MLM4665542052</t>
  </si>
  <si>
    <t>Tox Screen</t>
  </si>
  <si>
    <t>S-DTox</t>
  </si>
  <si>
    <t>MLM4665158036</t>
  </si>
  <si>
    <t>Ovarian Stimulation And Retrieval</t>
  </si>
  <si>
    <t>S-D-Cycle</t>
  </si>
  <si>
    <t>MLM4665144744</t>
  </si>
  <si>
    <t>Follow Up</t>
  </si>
  <si>
    <t>S-GFwUp</t>
  </si>
  <si>
    <t>MLM4665313188</t>
  </si>
  <si>
    <t>Hysteroscopy Surrogate</t>
  </si>
  <si>
    <t>S-HySc</t>
  </si>
  <si>
    <t>MLM4665106048</t>
  </si>
  <si>
    <t>Cell Reception</t>
  </si>
  <si>
    <t>S-CellRec</t>
  </si>
  <si>
    <t>MLM4665542054</t>
  </si>
  <si>
    <t>Karyotype Ip</t>
  </si>
  <si>
    <t>S-Kary</t>
  </si>
  <si>
    <t>MLM4665106050</t>
  </si>
  <si>
    <t>Infectious Disease Bw Ip</t>
  </si>
  <si>
    <t>S-Infe</t>
  </si>
  <si>
    <t>MLM4665106052</t>
  </si>
  <si>
    <t>Extra Hours Consultation</t>
  </si>
  <si>
    <t>S-UrgC</t>
  </si>
  <si>
    <t>MLM4719862858</t>
  </si>
  <si>
    <t>Donador De Semen Extranjero</t>
  </si>
  <si>
    <t>MLM4783831152</t>
  </si>
  <si>
    <t>10% Congelamiento De Óvulos</t>
  </si>
  <si>
    <t>T-EF10</t>
  </si>
  <si>
    <t>MLM4783817910</t>
  </si>
  <si>
    <t>15% Congelamiento De Óvulos</t>
  </si>
  <si>
    <t>MLM4824128690</t>
  </si>
  <si>
    <t>Primogyn 2 Mg</t>
  </si>
  <si>
    <t>MLM2750185373</t>
  </si>
  <si>
    <t>Mifepristona</t>
  </si>
  <si>
    <t>MLM2750120821</t>
  </si>
  <si>
    <t>Misoprostol</t>
  </si>
  <si>
    <t>MLM2800475299</t>
  </si>
  <si>
    <t>Fragmentación De Adn Espermático</t>
  </si>
  <si>
    <t>Frag</t>
  </si>
  <si>
    <t>MLM5146351984</t>
  </si>
  <si>
    <t>Reception Of Fresh Sample</t>
  </si>
  <si>
    <t>SSfresh</t>
  </si>
  <si>
    <t>MLM5164500240</t>
  </si>
  <si>
    <t>Pergoveris 900</t>
  </si>
  <si>
    <t>MLM5165351290</t>
  </si>
  <si>
    <t>Cultivos Ets - 7</t>
  </si>
  <si>
    <t>MLM2871933779</t>
  </si>
  <si>
    <t>Biopsia Embrionaria</t>
  </si>
  <si>
    <t>BxEmb</t>
  </si>
  <si>
    <t>MLM5203833750</t>
  </si>
  <si>
    <t>Initial Consultation</t>
  </si>
  <si>
    <t>S-OnUs</t>
  </si>
  <si>
    <t>MLM2888658759</t>
  </si>
  <si>
    <t>Inseminación Intrauterina Externos</t>
  </si>
  <si>
    <t>IIU-Ext</t>
  </si>
  <si>
    <t>MLM5251803526</t>
  </si>
  <si>
    <t>Online Consultation</t>
  </si>
  <si>
    <t>MLM5262361700</t>
  </si>
  <si>
    <t>Lavado Seminal</t>
  </si>
  <si>
    <t>LavSem</t>
  </si>
  <si>
    <t>MLM5262378738</t>
  </si>
  <si>
    <t>Carga Viral De Vih-1</t>
  </si>
  <si>
    <t>CAS-VIH</t>
  </si>
  <si>
    <t>MLM2899154955</t>
  </si>
  <si>
    <t>Pioglitazona</t>
  </si>
  <si>
    <t>Pioglit</t>
  </si>
  <si>
    <t>MLM5300453456</t>
  </si>
  <si>
    <t>Consulta Mx</t>
  </si>
  <si>
    <t>MLM5401961232</t>
  </si>
  <si>
    <t>Endometrial Prep With Descount Paul And Ryan</t>
  </si>
  <si>
    <t>MLM2959457959</t>
  </si>
  <si>
    <t>Semen Analysis</t>
  </si>
  <si>
    <t>SemAnaly</t>
  </si>
  <si>
    <t>MLM5472700192</t>
  </si>
  <si>
    <t>Gestageno 200 Mg</t>
  </si>
  <si>
    <t>MLM5479459912</t>
  </si>
  <si>
    <t>Perfil Extendido Donante De Semen</t>
  </si>
  <si>
    <t>MLM3002466947</t>
  </si>
  <si>
    <t>Estimulación Y Aspiración Donante Konstantinos Y Alex</t>
  </si>
  <si>
    <t>2639383528-pumoff-mp-1330eb9c9e3f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</si>
</sst>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10"/>
      <color rgb="FF000000"/>
      <name val="Arial"/>
      <scheme val="minor"/>
    </font>
    <font>
      <b val="1"/>
      <sz val="11"/>
      <color theme="1"/>
      <name val="Proxima Nova"/>
    </font>
    <font>
      <b val="1"/>
      <sz val="7"/>
      <color theme="1"/>
      <name val="Proxima Nova"/>
    </font>
    <font>
      <b val="1"/>
      <color theme="1"/>
      <name val="Proxima Nova"/>
    </font>
    <font>
      <b val="1"/>
      <i val="1"/>
      <sz val="11"/>
      <color theme="1"/>
      <name val="Proxima Nova"/>
    </font>
    <font>
      <b val="1"/>
      <u/>
      <color rgb="FF0000FF"/>
      <name val="Proxima Nova"/>
    </font>
    <font>
      <b val="1"/>
      <i val="1"/>
      <sz val="10"/>
      <color theme="1"/>
      <name val="Proxima Nova"/>
    </font>
    <font/>
    <font>
      <b val="1"/>
      <sz val="11"/>
      <color rgb="FFFFFFFF"/>
      <name val="Proxima Nova"/>
    </font>
    <font>
      <sz val="10"/>
      <color theme="1"/>
      <name val="Proxima Nova"/>
    </font>
    <font>
      <sz val="7"/>
      <color theme="1"/>
      <name val="Proxima Nova"/>
    </font>
    <font>
      <color theme="1"/>
      <name val="Proxima Nova"/>
    </font>
    <font>
      <sz val="10"/>
      <color rgb="FF000000"/>
      <name val="Proxima Nova"/>
    </font>
    <font>
      <sz val="11"/>
      <color rgb="FFEA4335"/>
      <name val="Proxima Nova"/>
    </font>
    <font>
      <b val="1"/>
      <i val="1"/>
      <sz val="7"/>
      <color theme="1"/>
      <name val="Proxima Nova"/>
    </font>
    <font>
      <sz val="11"/>
      <color theme="1"/>
      <name val="Proxima Nova"/>
    </font>
    <font>
      <color theme="1"/>
      <name val="Arial"/>
    </font>
    <font>
      <sz val="11"/>
      <color rgb="FF000000"/>
      <name val="Proxima Nova"/>
    </font>
    <font>
      <b val="1"/>
      <color rgb="FF000000"/>
      <name val="Proxima Nova"/>
    </font>
  </fonts>
  <fills count="10">
    <fill>
      <patternFill patternType="none"/>
    </fill>
    <fill>
      <patternFill patternType="lightGray"/>
    </fill>
    <fill>
      <patternFill patternType="solid">
        <fgColor rgb="FFFFEE67"/>
        <bgColor rgb="FFFFEE67"/>
      </patternFill>
    </fill>
    <fill>
      <patternFill patternType="solid">
        <fgColor rgb="FFF3F3F3"/>
        <bgColor rgb="FFF3F3F3"/>
      </patternFill>
    </fill>
    <fill>
      <patternFill patternType="solid">
        <fgColor rgb="FFD9D9D9"/>
        <bgColor rgb="FFD9D9D9"/>
      </patternFill>
    </fill>
    <fill>
      <patternFill patternType="solid">
        <fgColor rgb="FFF57368"/>
        <bgColor rgb="FFF57368"/>
      </patternFill>
    </fill>
    <fill>
      <patternFill patternType="solid">
        <fgColor theme="5"/>
        <bgColor theme="5"/>
      </patternFill>
    </fill>
    <fill>
      <patternFill patternType="solid">
        <fgColor rgb="FFFFE6E6"/>
        <bgColor rgb="FFFFE6E6"/>
      </patternFill>
    </fill>
    <fill>
      <patternFill patternType="solid">
        <fgColor rgb="FFFFE600"/>
        <bgColor rgb="FFFFE600"/>
      </patternFill>
    </fill>
    <fill>
      <patternFill patternType="solid">
        <fgColor rgb="FFF3F3F3"/>
      </patternFill>
    </fill>
  </fills>
  <borders count="13">
    <border/>
    <border>
      <bottom style="thin">
        <color rgb="FFD9D9D9"/>
      </bottom>
    </border>
    <border>
      <right style="thin">
        <color rgb="FF999999"/>
      </right>
      <bottom style="thin">
        <color rgb="FFD9D9D9"/>
      </bottom>
    </border>
    <border>
      <left style="thin">
        <color rgb="FFEFEFEF"/>
      </left>
      <bottom style="thin">
        <color rgb="FFD9D9D9"/>
      </bottom>
    </border>
    <border>
      <top style="thin">
        <color rgb="FFD9D9D9"/>
      </top>
      <bottom style="thin">
        <color rgb="FFD9D9D9"/>
      </bottom>
    </border>
    <border>
      <left style="thin">
        <color rgb="FFD9D9D9"/>
      </left>
      <right style="thin">
        <color rgb="FFD9D9D9"/>
      </right>
    </border>
    <border>
      <left style="thin">
        <color rgb="FFEFEFEF"/>
      </left>
      <right style="thin">
        <color rgb="FFEFEFEF"/>
      </right>
      <top style="thin">
        <color rgb="FFD9D9D9"/>
      </top>
      <bottom style="thin">
        <color rgb="FFD9D9D9"/>
      </bottom>
    </border>
    <border>
      <right style="thin">
        <color rgb="FFEFEFEF"/>
      </right>
      <top style="thin">
        <color rgb="FFD9D9D9"/>
      </top>
      <bottom style="thin">
        <color rgb="FFD9D9D9"/>
      </bottom>
    </border>
    <border>
      <left style="thin">
        <color rgb="FFEFEFEF"/>
      </left>
      <right style="thin">
        <color rgb="FF666666"/>
      </right>
      <top style="thin">
        <color rgb="FFD9D9D9"/>
      </top>
      <bottom style="thin">
        <color rgb="FFD9D9D9"/>
      </bottom>
    </border>
    <border>
      <left style="thin">
        <color rgb="FFEFEFEF"/>
      </left>
      <top style="thin">
        <color rgb="FFD9D9D9"/>
      </top>
      <bottom style="thin">
        <color rgb="FFD9D9D9"/>
      </bottom>
    </border>
    <border>
      <left style="thin">
        <color rgb="FFD9D9D9"/>
      </left>
      <right style="thin">
        <color rgb="FFD9D9D9"/>
      </right>
      <bottom style="thin">
        <color rgb="FFD9D9D9"/>
      </bottom>
    </border>
    <border>
      <left style="thin">
        <color rgb="FFEFEFEF"/>
      </left>
      <right style="thin">
        <color rgb="FFEFEFEF"/>
      </right>
      <top style="thin">
        <color rgb="FFD9D9D9"/>
      </top>
    </border>
    <border>
      <left style="thin">
        <color rgb="FFD0D7DE"/>
      </left>
      <right style="thin">
        <color rgb="FFD0D7DE"/>
      </right>
      <top style="thin">
        <color rgb="FFD0D7DE"/>
      </top>
      <bottom style="thin">
        <color rgb="FFD0D7DE"/>
      </bottom>
    </border>
  </borders>
  <cellStyleXfs count="1">
    <xf numFmtId="0" fontId="0" fillId="0" borderId="0" applyFont="true" applyAlignment="true"/>
  </cellStyleXfs>
  <cellXfs count="54">
    <xf numFmtId="0" fontId="0" fillId="0" borderId="0" xfId="0" applyFont="true" applyAlignment="true">
      <alignment vertical="bottom"/>
    </xf>
    <xf numFmtId="0" fontId="1" fillId="0" borderId="0" xfId="0" applyFont="true" applyAlignment="true">
      <alignment horizontal="center" vertical="center" wrapText="true"/>
    </xf>
    <xf numFmtId="0" fontId="2" fillId="0" borderId="0" xfId="0" applyFont="true" applyAlignment="true">
      <alignment horizontal="center" vertical="top" wrapText="true"/>
    </xf>
    <xf numFmtId="0" fontId="3" fillId="0" borderId="0" xfId="0" applyFont="true" applyAlignment="true">
      <alignment vertical="top" wrapText="true"/>
    </xf>
    <xf numFmtId="49" fontId="1" fillId="0" borderId="0" xfId="0" applyNumberFormat="true" applyFont="true" applyAlignment="true">
      <alignment horizontal="center" vertical="center" wrapText="true"/>
    </xf>
    <xf numFmtId="0" fontId="4" fillId="0" borderId="0" xfId="0" applyFont="true" applyAlignment="true">
      <alignment horizontal="center" vertical="bottom" wrapText="true"/>
    </xf>
    <xf numFmtId="0" fontId="5" fillId="0" borderId="0" xfId="0" applyFont="true" applyAlignment="true">
      <alignment vertical="top" wrapText="true"/>
    </xf>
    <xf numFmtId="0" fontId="6" fillId="0" borderId="0" xfId="0" applyFont="true" applyAlignment="true">
      <alignment horizontal="center" vertical="center" wrapText="true"/>
    </xf>
    <xf numFmtId="0" fontId="6" fillId="2" borderId="1" xfId="0" applyFont="true" applyFill="true" applyBorder="true" applyAlignment="true">
      <alignment horizontal="center" vertical="center" wrapText="true"/>
    </xf>
    <xf numFmtId="0" fontId="7" fillId="0" borderId="1" xfId="0" applyFont="true" applyBorder="true"/>
    <xf numFmtId="0" fontId="6" fillId="3" borderId="1" xfId="0" applyFont="true" applyFill="true" applyBorder="true" applyAlignment="true">
      <alignment horizontal="center" vertical="center" wrapText="true"/>
    </xf>
    <xf numFmtId="0" fontId="7" fillId="0" borderId="2" xfId="0" applyFont="true" applyBorder="true"/>
    <xf numFmtId="0" fontId="6" fillId="4" borderId="1" xfId="0" applyFont="true" applyFill="true" applyBorder="true" applyAlignment="true">
      <alignment horizontal="center" vertical="center" wrapText="true"/>
    </xf>
    <xf numFmtId="0" fontId="6" fillId="0" borderId="3" xfId="0" applyFont="true" applyBorder="true" applyAlignment="true">
      <alignment horizontal="center" vertical="bottom" wrapText="true"/>
    </xf>
    <xf numFmtId="0" fontId="1" fillId="5" borderId="0" xfId="0" applyFont="true" applyFill="true" applyAlignment="true">
      <alignment horizontal="left" vertical="center" wrapText="true"/>
    </xf>
    <xf numFmtId="0" fontId="2" fillId="2" borderId="0" xfId="0" applyFont="true" applyAlignment="true">
      <alignment horizontal="center" vertical="center" wrapText="true"/>
    </xf>
    <xf numFmtId="0" fontId="1" fillId="2" borderId="4" xfId="0" applyFont="true" applyBorder="true" applyAlignment="true">
      <alignment horizontal="center" vertical="center" wrapText="true"/>
    </xf>
    <xf numFmtId="0" fontId="1" fillId="2" borderId="5" xfId="0" applyFont="true" applyBorder="true" applyAlignment="true">
      <alignment horizontal="center" vertical="center" wrapText="true"/>
    </xf>
    <xf numFmtId="0" fontId="1" fillId="0" borderId="4" xfId="0" applyFont="true" applyBorder="true" applyAlignment="true">
      <alignment horizontal="center" vertical="center" wrapText="true"/>
    </xf>
    <xf numFmtId="0" fontId="1" fillId="0" borderId="6" xfId="0" applyFont="true" applyBorder="true" applyAlignment="true">
      <alignment horizontal="center" vertical="center" wrapText="true"/>
    </xf>
    <xf numFmtId="0" fontId="1" fillId="0" borderId="7" xfId="0" applyFont="true" applyBorder="true" applyAlignment="true">
      <alignment horizontal="center" vertical="center" wrapText="true"/>
    </xf>
    <xf numFmtId="49" fontId="1" fillId="0" borderId="8" xfId="0" applyNumberFormat="true" applyFont="true" applyBorder="true" applyAlignment="true">
      <alignment horizontal="center" vertical="center" wrapText="true"/>
    </xf>
    <xf numFmtId="0" fontId="8" fillId="6" borderId="9" xfId="0" applyFont="true" applyFill="true" applyBorder="true" applyAlignment="true">
      <alignment horizontal="left" vertical="center"/>
    </xf>
    <xf numFmtId="0" fontId="9" fillId="5" borderId="0" xfId="0" applyFont="true" applyAlignment="true">
      <alignment horizontal="left" vertical="center" wrapText="true"/>
    </xf>
    <xf numFmtId="0" fontId="10" fillId="0" borderId="4" xfId="0" applyFont="true" applyBorder="true" applyAlignment="true">
      <alignment horizontal="center" vertical="center" wrapText="true"/>
    </xf>
    <xf numFmtId="0" fontId="9" fillId="0" borderId="4" xfId="0" applyFont="true" applyBorder="true" applyAlignment="true">
      <alignment horizontal="center" vertical="center" wrapText="true"/>
    </xf>
    <xf numFmtId="0" fontId="9" fillId="0" borderId="5" xfId="0" applyFont="true" applyBorder="true" applyAlignment="true">
      <alignment horizontal="center" vertical="center" wrapText="true"/>
    </xf>
    <xf numFmtId="0" fontId="11" fillId="0" borderId="6" xfId="0" applyFont="true" applyBorder="true" applyAlignment="true">
      <alignment horizontal="center" vertical="center" wrapText="true"/>
    </xf>
    <xf numFmtId="0" fontId="9" fillId="0" borderId="7" xfId="0" applyFont="true" applyBorder="true" applyAlignment="true">
      <alignment horizontal="center" vertical="center" wrapText="true"/>
    </xf>
    <xf numFmtId="0" fontId="9" fillId="0" borderId="6" xfId="0" applyFont="true" applyBorder="true" applyAlignment="true">
      <alignment horizontal="center" vertical="center" wrapText="true"/>
    </xf>
    <xf numFmtId="0" fontId="12" fillId="0" borderId="6" xfId="0" applyFont="true" applyBorder="true" applyAlignment="true">
      <alignment horizontal="center" vertical="center" wrapText="true"/>
    </xf>
    <xf numFmtId="49" fontId="9" fillId="0" borderId="8" xfId="0" applyNumberFormat="true" applyFont="true" applyBorder="true" applyAlignment="true">
      <alignment horizontal="center" vertical="center" wrapText="true"/>
    </xf>
    <xf numFmtId="0" fontId="9" fillId="0" borderId="9" xfId="0" applyFont="true" applyBorder="true" applyAlignment="true">
      <alignment horizontal="left" vertical="center" wrapText="true"/>
    </xf>
    <xf numFmtId="0" fontId="13" fillId="7" borderId="0" xfId="0" applyFont="true" applyFill="true" applyAlignment="true">
      <alignment horizontal="left" vertical="center" wrapText="true"/>
    </xf>
    <xf numFmtId="0" fontId="14" fillId="0" borderId="1" xfId="0" applyFont="true" applyBorder="true" applyAlignment="true">
      <alignment horizontal="center" vertical="center" wrapText="true"/>
    </xf>
    <xf numFmtId="0" fontId="15" fillId="0" borderId="4" xfId="0" applyFont="true" applyBorder="true" applyAlignment="true">
      <alignment horizontal="left" vertical="center" wrapText="true"/>
    </xf>
    <xf numFmtId="4" fontId="15" fillId="0" borderId="10" xfId="0" applyNumberFormat="true" applyFont="true" applyBorder="true" applyAlignment="true">
      <alignment horizontal="center" vertical="center"/>
    </xf>
    <xf numFmtId="4" fontId="15" fillId="0" borderId="7" xfId="0" applyNumberFormat="true" applyFont="true" applyBorder="true" applyAlignment="true">
      <alignment horizontal="center" vertical="center"/>
    </xf>
    <xf numFmtId="2" fontId="15" fillId="0" borderId="11" xfId="0" applyNumberFormat="true" applyFont="true" applyBorder="true" applyAlignment="true">
      <alignment horizontal="center" vertical="center" wrapText="true"/>
    </xf>
    <xf numFmtId="9" fontId="15" fillId="0" borderId="11" xfId="0" applyNumberFormat="true" applyFont="true" applyBorder="true" applyAlignment="true">
      <alignment horizontal="center" vertical="center" wrapText="true"/>
    </xf>
    <xf numFmtId="0" fontId="15" fillId="0" borderId="6" xfId="0" applyFont="true" applyBorder="true" applyAlignment="true">
      <alignment horizontal="center" vertical="center" wrapText="true"/>
    </xf>
    <xf numFmtId="0" fontId="15" fillId="0" borderId="6" xfId="0" applyFont="true" applyBorder="true" applyAlignment="true">
      <alignment horizontal="center" vertical="center"/>
    </xf>
    <xf numFmtId="49" fontId="15" fillId="0" borderId="8" xfId="0" applyNumberFormat="true" applyFont="true" applyBorder="true" applyAlignment="true">
      <alignment horizontal="center" vertical="center"/>
    </xf>
    <xf numFmtId="9" fontId="15" fillId="0" borderId="7" xfId="0" applyNumberFormat="true" applyFont="true" applyBorder="true" applyAlignment="true">
      <alignment horizontal="center" vertical="center" wrapText="true"/>
    </xf>
    <xf numFmtId="9" fontId="15" fillId="0" borderId="6" xfId="0" applyNumberFormat="true" applyFont="true" applyBorder="true" applyAlignment="true">
      <alignment horizontal="center" vertical="center"/>
    </xf>
    <xf numFmtId="0" fontId="9" fillId="0" borderId="6" xfId="0" applyFont="true" applyBorder="true" applyAlignment="true">
      <alignment horizontal="center" vertical="center" wrapText="true"/>
    </xf>
    <xf numFmtId="0" fontId="16" fillId="0" borderId="1" xfId="0" applyFont="true" applyBorder="true" applyAlignment="true">
      <alignment horizontal="left"/>
    </xf>
    <xf numFmtId="0" fontId="16" fillId="0" borderId="0" xfId="0" applyFont="true" applyAlignment="true">
      <alignment vertical="bottom"/>
    </xf>
    <xf numFmtId="0" fontId="11" fillId="0" borderId="0" xfId="0" applyFont="true" applyAlignment="true">
      <alignment vertical="top"/>
    </xf>
    <xf numFmtId="0" fontId="17" fillId="0" borderId="0" xfId="0" applyFont="true" applyAlignment="true">
      <alignment vertical="top" wrapText="true"/>
    </xf>
    <xf numFmtId="0" fontId="16" fillId="0" borderId="0" xfId="0" applyFont="true" applyAlignment="true">
      <alignment vertical="top"/>
    </xf>
    <xf numFmtId="0" fontId="18" fillId="8" borderId="0" xfId="0" applyFont="true" applyFill="true" applyAlignment="true">
      <alignment horizontal="center" vertical="center"/>
    </xf>
    <xf numFmtId="0" fontId="15" fillId="0" borderId="0" xfId="0" applyFont="true" applyAlignment="true">
      <alignment vertical="top"/>
    </xf>
    <xf numFmtId="0" fontId="0" fillId="9" borderId="12" xfId="0" applyFill="true" applyBorder="true" applyAlignment="false">
      <alignment/>
    </xf>
  </cellXfs>
  <cellStyles count="1">
    <cellStyle name="Normal" xfId="0" builtinId="0"/>
  </cellStyles>
  <dxfs count="10">
    <dxf>
      <font/>
      <fill>
        <patternFill patternType="none"/>
      </fill>
      <border/>
    </dxf>
    <dxf>
      <font/>
      <fill>
        <patternFill patternType="solid">
          <fgColor rgb="FFFFFFFF"/>
          <bgColor rgb="FFFFFFFF"/>
        </patternFill>
      </fill>
      <border/>
    </dxf>
    <dxf>
      <font/>
      <fill>
        <patternFill patternType="solid">
          <fgColor rgb="FFF5F5F5"/>
          <bgColor rgb="FFF5F5F5"/>
        </patternFill>
      </fill>
      <border/>
    </dxf>
    <dxf>
      <font>
        <color rgb="FFFFFFFF"/>
      </font>
      <fill>
        <patternFill patternType="solid">
          <fgColor rgb="FFF57368"/>
          <bgColor rgb="FFF57368"/>
        </patternFill>
      </fill>
      <border/>
    </dxf>
    <dxf>
      <font>
        <color rgb="FFEA4335"/>
      </font>
      <fill>
        <patternFill patternType="solid">
          <fgColor rgb="FFFFE6E6"/>
          <bgColor rgb="FFFFE6E6"/>
        </patternFill>
      </fill>
      <border/>
    </dxf>
    <dxf>
      <font/>
      <fill>
        <patternFill patternType="solid">
          <fgColor rgb="FFFFE6E6"/>
          <bgColor rgb="FFFFE6E6"/>
        </patternFill>
      </fill>
      <border/>
    </dxf>
    <dxf>
      <font>
        <color rgb="FFFB5067"/>
      </font>
      <fill>
        <patternFill patternType="none"/>
      </fill>
      <border/>
    </dxf>
    <dxf>
      <font>
        <color rgb="FF999999"/>
      </font>
      <fill>
        <patternFill patternType="none"/>
      </fill>
      <border/>
    </dxf>
    <dxf>
      <font>
        <color rgb="FF434CE4"/>
      </font>
      <fill>
        <patternFill patternType="none"/>
      </fill>
      <border/>
    </dxf>
    <dxf>
      <font>
        <color rgb="FFFF7733"/>
      </font>
      <fill>
        <patternFill patternType="none"/>
      </fill>
      <border/>
    </dxf>
  </dxfs>
  <tableStyles count="1" defaultPivotStyle="" defaultTableStyle="">
    <tableStyle name="Tus productos-style" pivot="0" count="2">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metadata" Type="http://customschemas.google.com/relationships/workbookmetadata"></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409575" cy="180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P1000" displayName="Table_1" name="Table_1" id="1">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Tus product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mercadopago.com.mx/products/list"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00"/>
    <pageSetUpPr/>
  </sheetPr>
  <sheetViews>
    <sheetView showGridLines="false" workbookViewId="0">
      <pane activePane="bottomRight" state="frozen" topLeftCell="E7" xSplit="4" ySplit="6"/>
      <selection activeCell="E1" pane="topRight" sqref="E1"/>
      <selection activeCell="A7" pane="bottomLeft" sqref="A7"/>
      <selection activeCell="E7" pane="bottomRight" sqref="E7"/>
    </sheetView>
  </sheetViews>
  <sheetFormatPr defaultColWidth="12.63" defaultRowHeight="15" customHeight="true" outlineLevelRow="1"/>
  <cols>
    <col customWidth="true" hidden="true" max="1" min="1" width="18.25"/>
    <col customWidth="true" max="2" min="2" width="5.38"/>
    <col customWidth="true" max="3" min="3" width="52.25"/>
    <col customWidth="true" max="4" min="4" width="17.63"/>
    <col customWidth="true" max="5" min="5" width="20.13"/>
    <col customWidth="true" max="6" min="6" width="17.63"/>
    <col customWidth="true" max="7" min="7" width="21.13"/>
    <col customWidth="true" max="8" min="8" width="26.38"/>
    <col customWidth="true" max="10" min="9" width="27.25"/>
    <col customWidth="true" max="11" min="11" width="25.75"/>
    <col customWidth="true" max="12" min="12" width="22.38"/>
    <col customWidth="true" max="13" min="13" width="21.63"/>
    <col customWidth="true" max="14" min="14" width="25.5"/>
    <col customWidth="true" max="15" min="15" width="26.88"/>
    <col customWidth="true" hidden="true" max="16" min="16" width="47.75"/>
  </cols>
  <sheetData>
    <row r="1" ht="4.5" customHeight="true" outlineLevel="1">
      <c r="A1" s="1"/>
      <c r="B1" s="2"/>
      <c r="C1" s="3"/>
      <c r="D1" s="3"/>
      <c r="E1" s="3"/>
      <c r="F1" s="1"/>
      <c r="G1" s="1"/>
      <c r="H1" s="1"/>
      <c r="I1" s="1"/>
      <c r="J1" s="1"/>
      <c r="K1" s="1"/>
      <c r="L1" s="4"/>
      <c r="M1" s="1"/>
      <c r="N1" s="1"/>
      <c r="O1" s="1"/>
      <c r="P1" s="5"/>
    </row>
    <row r="2" outlineLevel="1">
      <c r="A2" s="1"/>
      <c r="B2" s="2"/>
      <c r="C2" s="6" t="s">
        <v>0</v>
      </c>
      <c r="E2" s="3"/>
      <c r="F2" s="1"/>
      <c r="G2" s="1"/>
      <c r="H2" s="1"/>
      <c r="I2" s="1"/>
      <c r="J2" s="1"/>
      <c r="K2" s="1"/>
      <c r="L2" s="4"/>
      <c r="M2" s="1"/>
      <c r="N2" s="1"/>
      <c r="O2" s="1"/>
      <c r="P2" s="5"/>
    </row>
    <row r="3" ht="5.25" customHeight="true" outlineLevel="1">
      <c r="A3" s="1"/>
      <c r="B3" s="2"/>
      <c r="C3" s="3"/>
      <c r="D3" s="3"/>
      <c r="E3" s="3"/>
      <c r="F3" s="1"/>
      <c r="G3" s="1"/>
      <c r="H3" s="1"/>
      <c r="I3" s="1"/>
      <c r="J3" s="1"/>
      <c r="K3" s="1"/>
      <c r="L3" s="4"/>
      <c r="M3" s="1"/>
      <c r="N3" s="1"/>
      <c r="O3" s="1"/>
      <c r="P3" s="5"/>
    </row>
    <row r="4" ht="13.5" customHeight="true">
      <c r="A4" s="7"/>
      <c r="B4" s="8"/>
      <c r="C4" s="8" t="s">
        <v>1</v>
      </c>
      <c r="D4" s="9"/>
      <c r="E4" s="10" t="s">
        <v>2</v>
      </c>
      <c r="F4" s="9"/>
      <c r="G4" s="9"/>
      <c r="H4" s="9"/>
      <c r="I4" s="9"/>
      <c r="J4" s="9"/>
      <c r="K4" s="9"/>
      <c r="L4" s="11"/>
      <c r="M4" s="12" t="s">
        <v>3</v>
      </c>
      <c r="N4" s="9"/>
      <c r="O4" s="9"/>
      <c r="P4" s="13"/>
    </row>
    <row r="5" ht="28.5" customHeight="true">
      <c r="A5" s="14" t="s">
        <v>4</v>
      </c>
      <c r="B5" s="15"/>
      <c r="C5" s="16" t="s">
        <v>5</v>
      </c>
      <c r="D5" s="17" t="s">
        <v>6</v>
      </c>
      <c r="E5" s="18" t="s">
        <v>7</v>
      </c>
      <c r="F5" s="19" t="s">
        <v>8</v>
      </c>
      <c r="G5" s="20" t="s">
        <v>9</v>
      </c>
      <c r="H5" s="20" t="s">
        <v>10</v>
      </c>
      <c r="I5" s="19" t="s">
        <v>11</v>
      </c>
      <c r="J5" s="19" t="s">
        <v>12</v>
      </c>
      <c r="K5" s="19" t="s">
        <v>13</v>
      </c>
      <c r="L5" s="21" t="s">
        <v>14</v>
      </c>
      <c r="M5" s="20" t="s">
        <v>15</v>
      </c>
      <c r="N5" s="19" t="s">
        <v>16</v>
      </c>
      <c r="O5" s="19" t="s">
        <v>17</v>
      </c>
      <c r="P5" s="22" t="s">
        <v>18</v>
      </c>
    </row>
    <row r="6" ht="91.5" customHeight="true">
      <c r="A6" s="23" t="s">
        <v>19</v>
      </c>
      <c r="B6" s="24"/>
      <c r="C6" s="25" t="s">
        <v>20</v>
      </c>
      <c r="D6" s="26" t="s">
        <v>21</v>
      </c>
      <c r="E6" s="25" t="s">
        <v>22</v>
      </c>
      <c r="F6" s="27" t="s">
        <v>21</v>
      </c>
      <c r="G6" s="28" t="s">
        <v>23</v>
      </c>
      <c r="H6" s="28" t="s">
        <v>24</v>
      </c>
      <c r="I6" s="29" t="s">
        <v>25</v>
      </c>
      <c r="J6" s="27" t="s">
        <v>26</v>
      </c>
      <c r="K6" s="30" t="s">
        <v>27</v>
      </c>
      <c r="L6" s="31" t="s">
        <v>28</v>
      </c>
      <c r="M6" s="28" t="s">
        <v>29</v>
      </c>
      <c r="N6" s="29" t="s">
        <v>30</v>
      </c>
      <c r="O6" s="29" t="s">
        <v>31</v>
      </c>
      <c r="P6" s="32"/>
    </row>
    <row r="7" ht="22.5" customHeight="true">
      <c r="A7" s="33" t="s">
        <v>39</v>
      </c>
      <c r="B7" s="34" t="str">
        <f t="shared" ref="B7:B1000" si="1">IF(AND((A7=""),(C7&lt;&gt;"")),"NUEVO","")</f>
      </c>
      <c r="C7" s="35" t="s">
        <v>40</v>
      </c>
      <c r="D7" s="36">
        <v>4865</v>
      </c>
      <c r="E7" s="37" t="s">
        <v>41</v>
      </c>
      <c r="F7" s="38"/>
      <c r="G7" s="39" t="str">
        <f t="shared" ref="G7:G1000" si="2">IF(F7&lt;&gt; "",(D7-F7)/D7,"")</f>
      </c>
      <c r="H7" s="40" t="s">
        <v>42</v>
      </c>
      <c r="I7" s="41"/>
      <c r="J7" s="41"/>
      <c r="K7" s="41" t="s">
        <v>43</v>
      </c>
      <c r="L7" s="42" t="s">
        <v>44</v>
      </c>
      <c r="M7" s="43" t="s">
        <v>45</v>
      </c>
      <c r="N7" s="44" t="s">
        <v>47</v>
      </c>
      <c r="O7" s="45" t="s">
        <v>46</v>
      </c>
      <c r="P7" s="46" t="str">
        <f>IFERROR(__xludf.DUMMYFUNCTION("IF(OR(AND(C7&lt;&gt;"""", LEN(C7)&lt;3), LEN(C7)&gt;60, AND(D7&lt;&gt;"""", NOT(ISNUMBER(D7))), AND(ISNUMBER(D7), OR(D7&lt;0.01, D7&gt;999999999)), AND(COUNTA(D7:F7, H7:N7)&gt;0, C7=""""),                  
  AND(COUNTA(C7, H7:N7)&gt;0, D7=""""), LEN(H7)&gt;50, AND(I7&lt;&gt;"""", NOT(ISNUMBER"&amp;"(I7))), AND(ISNUMBER(I7), OR(I7&lt;0, I7&gt;99998)), AND(L7&lt;&gt;"""", NOT(REGEXMATCH(L7&amp;"""", ""^\d{8,14}$"")))), ""Erro"", """")"),"")</f>
      </c>
    </row>
    <row r="8" ht="22.5" customHeight="true">
      <c r="A8" s="33" t="s">
        <v>48</v>
      </c>
      <c r="B8" s="34" t="str">
        <f t="shared" si="1"/>
      </c>
      <c r="C8" s="35" t="s">
        <v>49</v>
      </c>
      <c r="D8" s="36">
        <v>15964</v>
      </c>
      <c r="E8" s="37" t="s">
        <v>41</v>
      </c>
      <c r="F8" s="38"/>
      <c r="G8" s="39" t="str">
        <f t="shared" si="2"/>
      </c>
      <c r="H8" s="40" t="s">
        <v>50</v>
      </c>
      <c r="I8" s="41"/>
      <c r="J8" s="41"/>
      <c r="K8" s="41" t="s">
        <v>43</v>
      </c>
      <c r="L8" s="42" t="s">
        <v>44</v>
      </c>
      <c r="M8" s="43" t="s">
        <v>45</v>
      </c>
      <c r="N8" s="44" t="s">
        <v>47</v>
      </c>
      <c r="O8" s="45" t="s">
        <v>46</v>
      </c>
      <c r="P8" s="46" t="str">
        <f>IFERROR(__xludf.DUMMYFUNCTION("IF(OR(AND(C8&lt;&gt;"""", LEN(C8)&lt;3), LEN(C8)&gt;60, AND(D8&lt;&gt;"""", NOT(ISNUMBER(D8))), AND(ISNUMBER(D8), OR(D8&lt;0.01, D8&gt;999999999)), AND(COUNTA(D8:F8, H8:N8)&gt;0, C8=""""),                  
  AND(COUNTA(C8, H8:N8)&gt;0, D8=""""), LEN(H8)&gt;50, AND(I8&lt;&gt;"""", NOT(ISNUMBER"&amp;"(I8))), AND(ISNUMBER(I8), OR(I8&lt;0, I8&gt;99998)), AND(L8&lt;&gt;"""", NOT(REGEXMATCH(L8&amp;"""", ""^\d{8,14}$"")))), ""Erro"", """")"),"")</f>
      </c>
    </row>
    <row r="9" ht="22.5" customHeight="true">
      <c r="A9" s="33" t="s">
        <v>51</v>
      </c>
      <c r="B9" s="34" t="str">
        <f t="shared" si="1"/>
      </c>
      <c r="C9" s="35" t="s">
        <v>52</v>
      </c>
      <c r="D9" s="36">
        <v>1800</v>
      </c>
      <c r="E9" s="37" t="s">
        <v>41</v>
      </c>
      <c r="F9" s="38"/>
      <c r="G9" s="39" t="str">
        <f t="shared" si="2"/>
      </c>
      <c r="H9" s="40" t="s">
        <v>53</v>
      </c>
      <c r="I9" s="41"/>
      <c r="J9" s="41"/>
      <c r="K9" s="41" t="s">
        <v>54</v>
      </c>
      <c r="L9" s="42" t="s">
        <v>44</v>
      </c>
      <c r="M9" s="43" t="s">
        <v>45</v>
      </c>
      <c r="N9" s="44" t="s">
        <v>47</v>
      </c>
      <c r="O9" s="45" t="s">
        <v>46</v>
      </c>
      <c r="P9" s="46" t="str">
        <f>IFERROR(__xludf.DUMMYFUNCTION("IF(OR(AND(C9&lt;&gt;"""", LEN(C9)&lt;3), LEN(C9)&gt;60, AND(D9&lt;&gt;"""", NOT(ISNUMBER(D9))), AND(ISNUMBER(D9), OR(D9&lt;0.01, D9&gt;999999999)), AND(COUNTA(D9:F9, H9:N9)&gt;0, C9=""""),                  
  AND(COUNTA(C9, H9:N9)&gt;0, D9=""""), LEN(H9)&gt;50, AND(I9&lt;&gt;"""", NOT(ISNUMBER"&amp;"(I9))), AND(ISNUMBER(I9), OR(I9&lt;0, I9&gt;99998)), AND(L9&lt;&gt;"""", NOT(REGEXMATCH(L9&amp;"""", ""^\d{8,14}$"")))), ""Erro"", """")"),"")</f>
      </c>
    </row>
    <row r="10" ht="24" customHeight="true">
      <c r="A10" s="33" t="s">
        <v>55</v>
      </c>
      <c r="B10" s="34" t="str">
        <f t="shared" si="1"/>
      </c>
      <c r="C10" s="35" t="s">
        <v>56</v>
      </c>
      <c r="D10" s="36">
        <v>1400</v>
      </c>
      <c r="E10" s="37" t="s">
        <v>41</v>
      </c>
      <c r="F10" s="38"/>
      <c r="G10" s="39" t="str">
        <f t="shared" si="2"/>
      </c>
      <c r="H10" s="40" t="s">
        <v>57</v>
      </c>
      <c r="I10" s="41"/>
      <c r="J10" s="41"/>
      <c r="K10" s="41" t="s">
        <v>54</v>
      </c>
      <c r="L10" s="42" t="s">
        <v>44</v>
      </c>
      <c r="M10" s="43" t="s">
        <v>45</v>
      </c>
      <c r="N10" s="44" t="s">
        <v>47</v>
      </c>
      <c r="O10" s="45" t="s">
        <v>58</v>
      </c>
      <c r="P10" s="46" t="str">
        <f>IFERROR(__xludf.DUMMYFUNCTION("IF(OR(AND(C10&lt;&gt;"""", LEN(C10)&lt;3), LEN(C10)&gt;60, AND(D10&lt;&gt;"""", NOT(ISNUMBER(D10))), AND(ISNUMBER(D10), OR(D10&lt;0.01, D10&gt;999999999)), AND(COUNTA(D10:F10, H10:N10)&gt;0, C10=""""),                  
  AND(COUNTA(C10, H10:N10)&gt;0, D10=""""), LEN(H10)&gt;50, AND(I10&lt;"&amp;"&gt;"""", NOT(ISNUMBER(I10))), AND(ISNUMBER(I10), OR(I10&lt;0, I10&gt;99998)), AND(L10&lt;&gt;"""", NOT(REGEXMATCH(L10&amp;"""", ""^\d{8,14}$"")))), ""Erro"", """")"),"")</f>
      </c>
    </row>
    <row r="11" ht="22.5" customHeight="true">
      <c r="A11" s="33" t="s">
        <v>59</v>
      </c>
      <c r="B11" s="34" t="str">
        <f t="shared" si="1"/>
      </c>
      <c r="C11" s="35" t="s">
        <v>60</v>
      </c>
      <c r="D11" s="36">
        <v>610</v>
      </c>
      <c r="E11" s="37" t="s">
        <v>41</v>
      </c>
      <c r="F11" s="38"/>
      <c r="G11" s="39" t="str">
        <f t="shared" si="2"/>
      </c>
      <c r="H11" s="40" t="s">
        <v>61</v>
      </c>
      <c r="I11" s="41"/>
      <c r="J11" s="41"/>
      <c r="K11" s="41" t="s">
        <v>43</v>
      </c>
      <c r="L11" s="42" t="s">
        <v>44</v>
      </c>
      <c r="M11" s="43" t="s">
        <v>45</v>
      </c>
      <c r="N11" s="44" t="s">
        <v>47</v>
      </c>
      <c r="O11" s="45" t="s">
        <v>46</v>
      </c>
      <c r="P11" s="46" t="str">
        <f>IFERROR(__xludf.DUMMYFUNCTION("IF(OR(AND(C11&lt;&gt;"""", LEN(C11)&lt;3), LEN(C11)&gt;60, AND(D11&lt;&gt;"""", NOT(ISNUMBER(D11))), AND(ISNUMBER(D11), OR(D11&lt;0.01, D11&gt;999999999)), AND(COUNTA(D11:F11, H11:N11)&gt;0, C11=""""),                  
  AND(COUNTA(C11, H11:N11)&gt;0, D11=""""), LEN(H11)&gt;50, AND(I11&lt;"&amp;"&gt;"""", NOT(ISNUMBER(I11))), AND(ISNUMBER(I11), OR(I11&lt;0, I11&gt;99998)), AND(L11&lt;&gt;"""", NOT(REGEXMATCH(L11&amp;"""", ""^\d{8,14}$"")))), ""Erro"", """")"),"")</f>
      </c>
    </row>
    <row r="12" ht="22.5" customHeight="true">
      <c r="A12" s="33" t="s">
        <v>62</v>
      </c>
      <c r="B12" s="34" t="str">
        <f t="shared" si="1"/>
      </c>
      <c r="C12" s="35" t="s">
        <v>63</v>
      </c>
      <c r="D12" s="36">
        <v>11025</v>
      </c>
      <c r="E12" s="37" t="s">
        <v>41</v>
      </c>
      <c r="F12" s="38"/>
      <c r="G12" s="39" t="str">
        <f t="shared" si="2"/>
      </c>
      <c r="H12" s="40" t="s">
        <v>64</v>
      </c>
      <c r="I12" s="41"/>
      <c r="J12" s="41"/>
      <c r="K12" s="41" t="s">
        <v>65</v>
      </c>
      <c r="L12" s="42" t="s">
        <v>44</v>
      </c>
      <c r="M12" s="43" t="s">
        <v>45</v>
      </c>
      <c r="N12" s="44" t="s">
        <v>47</v>
      </c>
      <c r="O12" s="45" t="s">
        <v>66</v>
      </c>
      <c r="P12" s="46" t="str">
        <f>IFERROR(__xludf.DUMMYFUNCTION("IF(OR(AND(C12&lt;&gt;"""", LEN(C12)&lt;3), LEN(C12)&gt;60, AND(D12&lt;&gt;"""", NOT(ISNUMBER(D12))), AND(ISNUMBER(D12), OR(D12&lt;0.01, D12&gt;999999999)), AND(COUNTA(D12:F12, H12:N12)&gt;0, C12=""""),                  
  AND(COUNTA(C12, H12:N12)&gt;0, D12=""""), LEN(H12)&gt;50, AND(I12&lt;"&amp;"&gt;"""", NOT(ISNUMBER(I12))), AND(ISNUMBER(I12), OR(I12&lt;0, I12&gt;99998)), AND(L12&lt;&gt;"""", NOT(REGEXMATCH(L12&amp;"""", ""^\d{8,14}$"")))), ""Erro"", """")"),"")</f>
      </c>
    </row>
    <row r="13" ht="22.5" customHeight="true">
      <c r="A13" s="33" t="s">
        <v>67</v>
      </c>
      <c r="B13" s="34" t="str">
        <f t="shared" si="1"/>
      </c>
      <c r="C13" s="35" t="s">
        <v>68</v>
      </c>
      <c r="D13" s="36">
        <v>24800</v>
      </c>
      <c r="E13" s="37" t="s">
        <v>41</v>
      </c>
      <c r="F13" s="38"/>
      <c r="G13" s="39" t="str">
        <f t="shared" si="2"/>
      </c>
      <c r="H13" s="40" t="s">
        <v>69</v>
      </c>
      <c r="I13" s="41"/>
      <c r="J13" s="41"/>
      <c r="K13" s="41" t="s">
        <v>70</v>
      </c>
      <c r="L13" s="42" t="s">
        <v>44</v>
      </c>
      <c r="M13" s="43" t="s">
        <v>45</v>
      </c>
      <c r="N13" s="44" t="s">
        <v>47</v>
      </c>
      <c r="O13" s="45" t="s">
        <v>46</v>
      </c>
      <c r="P13" s="46" t="str">
        <f>IFERROR(__xludf.DUMMYFUNCTION("IF(OR(AND(C13&lt;&gt;"""", LEN(C13)&lt;3), LEN(C13)&gt;60, AND(D13&lt;&gt;"""", NOT(ISNUMBER(D13))), AND(ISNUMBER(D13), OR(D13&lt;0.01, D13&gt;999999999)), AND(COUNTA(D13:F13, H13:N13)&gt;0, C13=""""),                  
  AND(COUNTA(C13, H13:N13)&gt;0, D13=""""), LEN(H13)&gt;50, AND(I13&lt;"&amp;"&gt;"""", NOT(ISNUMBER(I13))), AND(ISNUMBER(I13), OR(I13&lt;0, I13&gt;99998)), AND(L13&lt;&gt;"""", NOT(REGEXMATCH(L13&amp;"""", ""^\d{8,14}$"")))), ""Erro"", """")"),"")</f>
      </c>
    </row>
    <row r="14" ht="22.5" customHeight="true">
      <c r="A14" s="33" t="s">
        <v>71</v>
      </c>
      <c r="B14" s="34" t="str">
        <f t="shared" si="1"/>
      </c>
      <c r="C14" s="35" t="s">
        <v>72</v>
      </c>
      <c r="D14" s="36">
        <v>318</v>
      </c>
      <c r="E14" s="37" t="s">
        <v>41</v>
      </c>
      <c r="F14" s="38"/>
      <c r="G14" s="39" t="str">
        <f t="shared" si="2"/>
      </c>
      <c r="H14" s="40" t="s">
        <v>73</v>
      </c>
      <c r="I14" s="41"/>
      <c r="J14" s="41"/>
      <c r="K14" s="41" t="s">
        <v>43</v>
      </c>
      <c r="L14" s="42" t="s">
        <v>44</v>
      </c>
      <c r="M14" s="43" t="s">
        <v>45</v>
      </c>
      <c r="N14" s="44" t="s">
        <v>47</v>
      </c>
      <c r="O14" s="45" t="s">
        <v>46</v>
      </c>
      <c r="P14" s="46" t="str">
        <f>IFERROR(__xludf.DUMMYFUNCTION("IF(OR(AND(C14&lt;&gt;"""", LEN(C14)&lt;3), LEN(C14)&gt;60, AND(D14&lt;&gt;"""", NOT(ISNUMBER(D14))), AND(ISNUMBER(D14), OR(D14&lt;0.01, D14&gt;999999999)), AND(COUNTA(D14:F14, H14:N14)&gt;0, C14=""""),                  
  AND(COUNTA(C14, H14:N14)&gt;0, D14=""""), LEN(H14)&gt;50, AND(I14&lt;"&amp;"&gt;"""", NOT(ISNUMBER(I14))), AND(ISNUMBER(I14), OR(I14&lt;0, I14&gt;99998)), AND(L14&lt;&gt;"""", NOT(REGEXMATCH(L14&amp;"""", ""^\d{8,14}$"")))), ""Erro"", """")"),"")</f>
      </c>
    </row>
    <row r="15" ht="22.5" customHeight="true">
      <c r="A15" s="33" t="s">
        <v>74</v>
      </c>
      <c r="B15" s="34" t="str">
        <f t="shared" si="1"/>
      </c>
      <c r="C15" s="35" t="s">
        <v>75</v>
      </c>
      <c r="D15" s="36">
        <v>345</v>
      </c>
      <c r="E15" s="37" t="s">
        <v>41</v>
      </c>
      <c r="F15" s="38"/>
      <c r="G15" s="39" t="str">
        <f t="shared" si="2"/>
      </c>
      <c r="H15" s="40" t="s">
        <v>76</v>
      </c>
      <c r="I15" s="41"/>
      <c r="J15" s="41"/>
      <c r="K15" s="41" t="s">
        <v>43</v>
      </c>
      <c r="L15" s="42" t="s">
        <v>44</v>
      </c>
      <c r="M15" s="43" t="s">
        <v>45</v>
      </c>
      <c r="N15" s="44" t="s">
        <v>47</v>
      </c>
      <c r="O15" s="45" t="s">
        <v>46</v>
      </c>
      <c r="P15" s="46" t="str">
        <f>IFERROR(__xludf.DUMMYFUNCTION("IF(OR(AND(C15&lt;&gt;"""", LEN(C15)&lt;3), LEN(C15)&gt;60, AND(D15&lt;&gt;"""", NOT(ISNUMBER(D15))), AND(ISNUMBER(D15), OR(D15&lt;0.01, D15&gt;999999999)), AND(COUNTA(D15:F15, H15:N15)&gt;0, C15=""""),                  
  AND(COUNTA(C15, H15:N15)&gt;0, D15=""""), LEN(H15)&gt;50, AND(I15&lt;"&amp;"&gt;"""", NOT(ISNUMBER(I15))), AND(ISNUMBER(I15), OR(I15&lt;0, I15&gt;99998)), AND(L15&lt;&gt;"""", NOT(REGEXMATCH(L15&amp;"""", ""^\d{8,14}$"")))), ""Erro"", """")"),"")</f>
      </c>
    </row>
    <row r="16" ht="22.5" customHeight="true">
      <c r="A16" s="33" t="s">
        <v>77</v>
      </c>
      <c r="B16" s="34" t="str">
        <f t="shared" si="1"/>
      </c>
      <c r="C16" s="35" t="s">
        <v>78</v>
      </c>
      <c r="D16" s="36">
        <v>1200</v>
      </c>
      <c r="E16" s="37" t="s">
        <v>41</v>
      </c>
      <c r="F16" s="38"/>
      <c r="G16" s="39" t="str">
        <f t="shared" si="2"/>
      </c>
      <c r="H16" s="40" t="s">
        <v>79</v>
      </c>
      <c r="I16" s="41"/>
      <c r="J16" s="41"/>
      <c r="K16" s="41" t="s">
        <v>80</v>
      </c>
      <c r="L16" s="42" t="s">
        <v>44</v>
      </c>
      <c r="M16" s="43" t="s">
        <v>45</v>
      </c>
      <c r="N16" s="44" t="s">
        <v>47</v>
      </c>
      <c r="O16" s="45" t="s">
        <v>46</v>
      </c>
      <c r="P16" s="46" t="str">
        <f>IFERROR(__xludf.DUMMYFUNCTION("IF(OR(AND(C16&lt;&gt;"""", LEN(C16)&lt;3), LEN(C16)&gt;60, AND(D16&lt;&gt;"""", NOT(ISNUMBER(D16))), AND(ISNUMBER(D16), OR(D16&lt;0.01, D16&gt;999999999)), AND(COUNTA(D16:F16, H16:N16)&gt;0, C16=""""),                  
  AND(COUNTA(C16, H16:N16)&gt;0, D16=""""), LEN(H16)&gt;50, AND(I16&lt;"&amp;"&gt;"""", NOT(ISNUMBER(I16))), AND(ISNUMBER(I16), OR(I16&lt;0, I16&gt;99998)), AND(L16&lt;&gt;"""", NOT(REGEXMATCH(L16&amp;"""", ""^\d{8,14}$"")))), ""Erro"", """")"),"")</f>
      </c>
    </row>
    <row r="17" ht="22.5" customHeight="true">
      <c r="A17" s="33" t="s">
        <v>81</v>
      </c>
      <c r="B17" s="34" t="str">
        <f t="shared" si="1"/>
      </c>
      <c r="C17" s="35" t="s">
        <v>82</v>
      </c>
      <c r="D17" s="36">
        <v>30250</v>
      </c>
      <c r="E17" s="37" t="s">
        <v>41</v>
      </c>
      <c r="F17" s="38"/>
      <c r="G17" s="39" t="str">
        <f t="shared" si="2"/>
      </c>
      <c r="H17" s="40" t="s">
        <v>83</v>
      </c>
      <c r="I17" s="41"/>
      <c r="J17" s="41"/>
      <c r="K17" s="41" t="s">
        <v>70</v>
      </c>
      <c r="L17" s="42" t="s">
        <v>44</v>
      </c>
      <c r="M17" s="43" t="s">
        <v>45</v>
      </c>
      <c r="N17" s="44" t="s">
        <v>47</v>
      </c>
      <c r="O17" s="45" t="s">
        <v>46</v>
      </c>
      <c r="P17" s="46" t="str">
        <f>IFERROR(__xludf.DUMMYFUNCTION("IF(OR(AND(C17&lt;&gt;"""", LEN(C17)&lt;3), LEN(C17)&gt;60, AND(D17&lt;&gt;"""", NOT(ISNUMBER(D17))), AND(ISNUMBER(D17), OR(D17&lt;0.01, D17&gt;999999999)), AND(COUNTA(D17:F17, H17:N17)&gt;0, C17=""""),                  
  AND(COUNTA(C17, H17:N17)&gt;0, D17=""""), LEN(H17)&gt;50, AND(I17&lt;"&amp;"&gt;"""", NOT(ISNUMBER(I17))), AND(ISNUMBER(I17), OR(I17&lt;0, I17&gt;99998)), AND(L17&lt;&gt;"""", NOT(REGEXMATCH(L17&amp;"""", ""^\d{8,14}$"")))), ""Erro"", """")"),"")</f>
      </c>
    </row>
    <row r="18" ht="22.5" customHeight="true">
      <c r="A18" s="33" t="s">
        <v>84</v>
      </c>
      <c r="B18" s="34" t="str">
        <f t="shared" si="1"/>
      </c>
      <c r="C18" s="35" t="s">
        <v>85</v>
      </c>
      <c r="D18" s="36">
        <v>848</v>
      </c>
      <c r="E18" s="37" t="s">
        <v>41</v>
      </c>
      <c r="F18" s="38"/>
      <c r="G18" s="39" t="str">
        <f t="shared" si="2"/>
      </c>
      <c r="H18" s="40" t="s">
        <v>86</v>
      </c>
      <c r="I18" s="41"/>
      <c r="J18" s="41"/>
      <c r="K18" s="41" t="s">
        <v>43</v>
      </c>
      <c r="L18" s="42" t="s">
        <v>44</v>
      </c>
      <c r="M18" s="43" t="s">
        <v>45</v>
      </c>
      <c r="N18" s="44" t="s">
        <v>47</v>
      </c>
      <c r="O18" s="45" t="s">
        <v>46</v>
      </c>
      <c r="P18" s="46" t="str">
        <f>IFERROR(__xludf.DUMMYFUNCTION("IF(OR(AND(C18&lt;&gt;"""", LEN(C18)&lt;3), LEN(C18)&gt;60, AND(D18&lt;&gt;"""", NOT(ISNUMBER(D18))), AND(ISNUMBER(D18), OR(D18&lt;0.01, D18&gt;999999999)), AND(COUNTA(D18:F18, H18:N18)&gt;0, C18=""""),                  
  AND(COUNTA(C18, H18:N18)&gt;0, D18=""""), LEN(H18)&gt;50, AND(I18&lt;"&amp;"&gt;"""", NOT(ISNUMBER(I18))), AND(ISNUMBER(I18), OR(I18&lt;0, I18&gt;99998)), AND(L18&lt;&gt;"""", NOT(REGEXMATCH(L18&amp;"""", ""^\d{8,14}$"")))), ""Erro"", """")"),"")</f>
      </c>
    </row>
    <row r="19" ht="22.5" customHeight="true">
      <c r="A19" s="33" t="s">
        <v>87</v>
      </c>
      <c r="B19" s="34" t="str">
        <f t="shared" si="1"/>
      </c>
      <c r="C19" s="35" t="s">
        <v>88</v>
      </c>
      <c r="D19" s="36">
        <v>355</v>
      </c>
      <c r="E19" s="37" t="s">
        <v>41</v>
      </c>
      <c r="F19" s="38"/>
      <c r="G19" s="39" t="str">
        <f t="shared" si="2"/>
      </c>
      <c r="H19" s="40" t="s">
        <v>89</v>
      </c>
      <c r="I19" s="41"/>
      <c r="J19" s="41"/>
      <c r="K19" s="41" t="s">
        <v>43</v>
      </c>
      <c r="L19" s="42" t="s">
        <v>44</v>
      </c>
      <c r="M19" s="43" t="s">
        <v>45</v>
      </c>
      <c r="N19" s="44" t="s">
        <v>47</v>
      </c>
      <c r="O19" s="45" t="s">
        <v>46</v>
      </c>
      <c r="P19" s="46" t="str">
        <f>IFERROR(__xludf.DUMMYFUNCTION("IF(OR(AND(C19&lt;&gt;"""", LEN(C19)&lt;3), LEN(C19)&gt;60, AND(D19&lt;&gt;"""", NOT(ISNUMBER(D19))), AND(ISNUMBER(D19), OR(D19&lt;0.01, D19&gt;999999999)), AND(COUNTA(D19:F19, H19:N19)&gt;0, C19=""""),                  
  AND(COUNTA(C19, H19:N19)&gt;0, D19=""""), LEN(H19)&gt;50, AND(I19&lt;"&amp;"&gt;"""", NOT(ISNUMBER(I19))), AND(ISNUMBER(I19), OR(I19&lt;0, I19&gt;99998)), AND(L19&lt;&gt;"""", NOT(REGEXMATCH(L19&amp;"""", ""^\d{8,14}$"")))), ""Erro"", """")"),"")</f>
      </c>
    </row>
    <row r="20" ht="22.5" customHeight="true">
      <c r="A20" s="33" t="s">
        <v>90</v>
      </c>
      <c r="B20" s="34" t="str">
        <f t="shared" si="1"/>
      </c>
      <c r="C20" s="35" t="s">
        <v>91</v>
      </c>
      <c r="D20" s="36">
        <v>25300</v>
      </c>
      <c r="E20" s="37" t="s">
        <v>41</v>
      </c>
      <c r="F20" s="38"/>
      <c r="G20" s="39" t="str">
        <f t="shared" si="2"/>
      </c>
      <c r="H20" s="40" t="s">
        <v>92</v>
      </c>
      <c r="I20" s="41"/>
      <c r="J20" s="41"/>
      <c r="K20" s="41" t="s">
        <v>70</v>
      </c>
      <c r="L20" s="42" t="s">
        <v>44</v>
      </c>
      <c r="M20" s="43" t="s">
        <v>45</v>
      </c>
      <c r="N20" s="44" t="s">
        <v>47</v>
      </c>
      <c r="O20" s="45" t="s">
        <v>46</v>
      </c>
      <c r="P20" s="46" t="str">
        <f>IFERROR(__xludf.DUMMYFUNCTION("IF(OR(AND(C20&lt;&gt;"""", LEN(C20)&lt;3), LEN(C20)&gt;60, AND(D20&lt;&gt;"""", NOT(ISNUMBER(D20))), AND(ISNUMBER(D20), OR(D20&lt;0.01, D20&gt;999999999)), AND(COUNTA(D20:F20, H20:N20)&gt;0, C20=""""),                  
  AND(COUNTA(C20, H20:N20)&gt;0, D20=""""), LEN(H20)&gt;50, AND(I20&lt;"&amp;"&gt;"""", NOT(ISNUMBER(I20))), AND(ISNUMBER(I20), OR(I20&lt;0, I20&gt;99998)), AND(L20&lt;&gt;"""", NOT(REGEXMATCH(L20&amp;"""", ""^\d{8,14}$"")))), ""Erro"", """")"),"")</f>
      </c>
    </row>
    <row r="21" ht="22.5" customHeight="true">
      <c r="A21" s="33" t="s">
        <v>93</v>
      </c>
      <c r="B21" s="34" t="str">
        <f t="shared" si="1"/>
      </c>
      <c r="C21" s="35" t="s">
        <v>94</v>
      </c>
      <c r="D21" s="36">
        <v>4341</v>
      </c>
      <c r="E21" s="37" t="s">
        <v>41</v>
      </c>
      <c r="F21" s="38"/>
      <c r="G21" s="39" t="str">
        <f t="shared" si="2"/>
      </c>
      <c r="H21" s="40" t="s">
        <v>95</v>
      </c>
      <c r="I21" s="41"/>
      <c r="J21" s="41"/>
      <c r="K21" s="41" t="s">
        <v>43</v>
      </c>
      <c r="L21" s="42" t="s">
        <v>44</v>
      </c>
      <c r="M21" s="43" t="s">
        <v>45</v>
      </c>
      <c r="N21" s="44" t="s">
        <v>47</v>
      </c>
      <c r="O21" s="45" t="s">
        <v>46</v>
      </c>
      <c r="P21" s="46" t="str">
        <f>IFERROR(__xludf.DUMMYFUNCTION("IF(OR(AND(C21&lt;&gt;"""", LEN(C21)&lt;3), LEN(C21)&gt;60, AND(D21&lt;&gt;"""", NOT(ISNUMBER(D21))), AND(ISNUMBER(D21), OR(D21&lt;0.01, D21&gt;999999999)), AND(COUNTA(D21:F21, H21:N21)&gt;0, C21=""""),                  
  AND(COUNTA(C21, H21:N21)&gt;0, D21=""""), LEN(H21)&gt;50, AND(I21&lt;"&amp;"&gt;"""", NOT(ISNUMBER(I21))), AND(ISNUMBER(I21), OR(I21&lt;0, I21&gt;99998)), AND(L21&lt;&gt;"""", NOT(REGEXMATCH(L21&amp;"""", ""^\d{8,14}$"")))), ""Erro"", """")"),"")</f>
      </c>
    </row>
    <row r="22" ht="22.5" customHeight="true">
      <c r="A22" s="33" t="s">
        <v>96</v>
      </c>
      <c r="B22" s="34" t="str">
        <f t="shared" si="1"/>
      </c>
      <c r="C22" s="35" t="s">
        <v>97</v>
      </c>
      <c r="D22" s="36">
        <v>400</v>
      </c>
      <c r="E22" s="37" t="s">
        <v>41</v>
      </c>
      <c r="F22" s="38"/>
      <c r="G22" s="39" t="str">
        <f t="shared" si="2"/>
      </c>
      <c r="H22" s="40" t="s">
        <v>98</v>
      </c>
      <c r="I22" s="41"/>
      <c r="J22" s="41"/>
      <c r="K22" s="41" t="s">
        <v>43</v>
      </c>
      <c r="L22" s="42" t="s">
        <v>44</v>
      </c>
      <c r="M22" s="43" t="s">
        <v>45</v>
      </c>
      <c r="N22" s="44" t="s">
        <v>47</v>
      </c>
      <c r="O22" s="45" t="s">
        <v>46</v>
      </c>
      <c r="P22" s="46" t="str">
        <f>IFERROR(__xludf.DUMMYFUNCTION("IF(OR(AND(C22&lt;&gt;"""", LEN(C22)&lt;3), LEN(C22)&gt;60, AND(D22&lt;&gt;"""", NOT(ISNUMBER(D22))), AND(ISNUMBER(D22), OR(D22&lt;0.01, D22&gt;999999999)), AND(COUNTA(D22:F22, H22:N22)&gt;0, C22=""""),                  
  AND(COUNTA(C22, H22:N22)&gt;0, D22=""""), LEN(H22)&gt;50, AND(I22&lt;"&amp;"&gt;"""", NOT(ISNUMBER(I22))), AND(ISNUMBER(I22), OR(I22&lt;0, I22&gt;99998)), AND(L22&lt;&gt;"""", NOT(REGEXMATCH(L22&amp;"""", ""^\d{8,14}$"")))), ""Erro"", """")"),"")</f>
      </c>
    </row>
    <row r="23" ht="22.5" customHeight="true">
      <c r="A23" s="33" t="s">
        <v>99</v>
      </c>
      <c r="B23" s="34" t="str">
        <f t="shared" si="1"/>
      </c>
      <c r="C23" s="35" t="s">
        <v>100</v>
      </c>
      <c r="D23" s="36">
        <v>50000</v>
      </c>
      <c r="E23" s="37" t="s">
        <v>41</v>
      </c>
      <c r="F23" s="38"/>
      <c r="G23" s="39" t="str">
        <f t="shared" si="2"/>
      </c>
      <c r="H23" s="40" t="s">
        <v>101</v>
      </c>
      <c r="I23" s="41"/>
      <c r="J23" s="41"/>
      <c r="K23" s="41" t="s">
        <v>65</v>
      </c>
      <c r="L23" s="42" t="s">
        <v>44</v>
      </c>
      <c r="M23" s="43" t="s">
        <v>45</v>
      </c>
      <c r="N23" s="44" t="s">
        <v>47</v>
      </c>
      <c r="O23" s="45" t="s">
        <v>46</v>
      </c>
      <c r="P23" s="46" t="str">
        <f>IFERROR(__xludf.DUMMYFUNCTION("IF(OR(AND(C23&lt;&gt;"""", LEN(C23)&lt;3), LEN(C23)&gt;60, AND(D23&lt;&gt;"""", NOT(ISNUMBER(D23))), AND(ISNUMBER(D23), OR(D23&lt;0.01, D23&gt;999999999)), AND(COUNTA(D23:F23, H23:N23)&gt;0, C23=""""),                  
  AND(COUNTA(C23, H23:N23)&gt;0, D23=""""), LEN(H23)&gt;50, AND(I23&lt;"&amp;"&gt;"""", NOT(ISNUMBER(I23))), AND(ISNUMBER(I23), OR(I23&lt;0, I23&gt;99998)), AND(L23&lt;&gt;"""", NOT(REGEXMATCH(L23&amp;"""", ""^\d{8,14}$"")))), ""Erro"", """")"),"")</f>
      </c>
    </row>
    <row r="24" ht="22.5" customHeight="true">
      <c r="A24" s="33" t="s">
        <v>102</v>
      </c>
      <c r="B24" s="34" t="str">
        <f t="shared" si="1"/>
      </c>
      <c r="C24" s="35" t="s">
        <v>103</v>
      </c>
      <c r="D24" s="36">
        <v>97200</v>
      </c>
      <c r="E24" s="37" t="s">
        <v>41</v>
      </c>
      <c r="F24" s="38"/>
      <c r="G24" s="39" t="str">
        <f t="shared" si="2"/>
      </c>
      <c r="H24" s="40" t="s">
        <v>104</v>
      </c>
      <c r="I24" s="41"/>
      <c r="J24" s="41"/>
      <c r="K24" s="41" t="s">
        <v>65</v>
      </c>
      <c r="L24" s="42" t="s">
        <v>44</v>
      </c>
      <c r="M24" s="43" t="s">
        <v>45</v>
      </c>
      <c r="N24" s="44" t="s">
        <v>47</v>
      </c>
      <c r="O24" s="45" t="s">
        <v>46</v>
      </c>
      <c r="P24" s="46" t="str">
        <f>IFERROR(__xludf.DUMMYFUNCTION("IF(OR(AND(C24&lt;&gt;"""", LEN(C24)&lt;3), LEN(C24)&gt;60, AND(D24&lt;&gt;"""", NOT(ISNUMBER(D24))), AND(ISNUMBER(D24), OR(D24&lt;0.01, D24&gt;999999999)), AND(COUNTA(D24:F24, H24:N24)&gt;0, C24=""""),                  
  AND(COUNTA(C24, H24:N24)&gt;0, D24=""""), LEN(H24)&gt;50, AND(I24&lt;"&amp;"&gt;"""", NOT(ISNUMBER(I24))), AND(ISNUMBER(I24), OR(I24&lt;0, I24&gt;99998)), AND(L24&lt;&gt;"""", NOT(REGEXMATCH(L24&amp;"""", ""^\d{8,14}$"")))), ""Erro"", """")"),"")</f>
      </c>
    </row>
    <row r="25" ht="22.5" customHeight="true">
      <c r="A25" s="33" t="s">
        <v>105</v>
      </c>
      <c r="B25" s="34" t="str">
        <f t="shared" si="1"/>
      </c>
      <c r="C25" s="35" t="s">
        <v>106</v>
      </c>
      <c r="D25" s="36">
        <v>1124</v>
      </c>
      <c r="E25" s="37" t="s">
        <v>41</v>
      </c>
      <c r="F25" s="38"/>
      <c r="G25" s="39" t="str">
        <f t="shared" si="2"/>
      </c>
      <c r="H25" s="40" t="s">
        <v>107</v>
      </c>
      <c r="I25" s="41"/>
      <c r="J25" s="41"/>
      <c r="K25" s="41" t="s">
        <v>43</v>
      </c>
      <c r="L25" s="42" t="s">
        <v>44</v>
      </c>
      <c r="M25" s="43" t="s">
        <v>45</v>
      </c>
      <c r="N25" s="44" t="s">
        <v>47</v>
      </c>
      <c r="O25" s="45" t="s">
        <v>46</v>
      </c>
      <c r="P25" s="46" t="str">
        <f>IFERROR(__xludf.DUMMYFUNCTION("IF(OR(AND(C25&lt;&gt;"""", LEN(C25)&lt;3), LEN(C25)&gt;60, AND(D25&lt;&gt;"""", NOT(ISNUMBER(D25))), AND(ISNUMBER(D25), OR(D25&lt;0.01, D25&gt;999999999)), AND(COUNTA(D25:F25, H25:N25)&gt;0, C25=""""),                  
  AND(COUNTA(C25, H25:N25)&gt;0, D25=""""), LEN(H25)&gt;50, AND(I25&lt;"&amp;"&gt;"""", NOT(ISNUMBER(I25))), AND(ISNUMBER(I25), OR(I25&lt;0, I25&gt;99998)), AND(L25&lt;&gt;"""", NOT(REGEXMATCH(L25&amp;"""", ""^\d{8,14}$"")))), ""Erro"", """")"),"")</f>
      </c>
    </row>
    <row r="26" ht="22.5" customHeight="true">
      <c r="A26" s="33" t="s">
        <v>108</v>
      </c>
      <c r="B26" s="34" t="str">
        <f t="shared" si="1"/>
      </c>
      <c r="C26" s="35" t="s">
        <v>109</v>
      </c>
      <c r="D26" s="36">
        <v>207</v>
      </c>
      <c r="E26" s="37" t="s">
        <v>41</v>
      </c>
      <c r="F26" s="38"/>
      <c r="G26" s="39" t="str">
        <f t="shared" si="2"/>
      </c>
      <c r="H26" s="40" t="s">
        <v>110</v>
      </c>
      <c r="I26" s="41"/>
      <c r="J26" s="41"/>
      <c r="K26" s="41" t="s">
        <v>43</v>
      </c>
      <c r="L26" s="42" t="s">
        <v>44</v>
      </c>
      <c r="M26" s="43" t="s">
        <v>45</v>
      </c>
      <c r="N26" s="44" t="s">
        <v>47</v>
      </c>
      <c r="O26" s="45" t="s">
        <v>46</v>
      </c>
      <c r="P26" s="46" t="str">
        <f>IFERROR(__xludf.DUMMYFUNCTION("IF(OR(AND(C26&lt;&gt;"""", LEN(C26)&lt;3), LEN(C26)&gt;60, AND(D26&lt;&gt;"""", NOT(ISNUMBER(D26))), AND(ISNUMBER(D26), OR(D26&lt;0.01, D26&gt;999999999)), AND(COUNTA(D26:F26, H26:N26)&gt;0, C26=""""),                  
  AND(COUNTA(C26, H26:N26)&gt;0, D26=""""), LEN(H26)&gt;50, AND(I26&lt;"&amp;"&gt;"""", NOT(ISNUMBER(I26))), AND(ISNUMBER(I26), OR(I26&lt;0, I26&gt;99998)), AND(L26&lt;&gt;"""", NOT(REGEXMATCH(L26&amp;"""", ""^\d{8,14}$"")))), ""Erro"", """")"),"")</f>
      </c>
    </row>
    <row r="27" ht="22.5" customHeight="true">
      <c r="A27" s="33" t="s">
        <v>111</v>
      </c>
      <c r="B27" s="34" t="str">
        <f t="shared" si="1"/>
      </c>
      <c r="C27" s="35" t="s">
        <v>112</v>
      </c>
      <c r="D27" s="36">
        <v>578</v>
      </c>
      <c r="E27" s="37" t="s">
        <v>41</v>
      </c>
      <c r="F27" s="38"/>
      <c r="G27" s="39" t="str">
        <f t="shared" si="2"/>
      </c>
      <c r="H27" s="40" t="s">
        <v>113</v>
      </c>
      <c r="I27" s="41"/>
      <c r="J27" s="41"/>
      <c r="K27" s="41" t="s">
        <v>43</v>
      </c>
      <c r="L27" s="42" t="s">
        <v>44</v>
      </c>
      <c r="M27" s="43" t="s">
        <v>45</v>
      </c>
      <c r="N27" s="44" t="s">
        <v>47</v>
      </c>
      <c r="O27" s="45" t="s">
        <v>46</v>
      </c>
      <c r="P27" s="46" t="str">
        <f>IFERROR(__xludf.DUMMYFUNCTION("IF(OR(AND(C27&lt;&gt;"""", LEN(C27)&lt;3), LEN(C27)&gt;60, AND(D27&lt;&gt;"""", NOT(ISNUMBER(D27))), AND(ISNUMBER(D27), OR(D27&lt;0.01, D27&gt;999999999)), AND(COUNTA(D27:F27, H27:N27)&gt;0, C27=""""),                  
  AND(COUNTA(C27, H27:N27)&gt;0, D27=""""), LEN(H27)&gt;50, AND(I27&lt;"&amp;"&gt;"""", NOT(ISNUMBER(I27))), AND(ISNUMBER(I27), OR(I27&lt;0, I27&gt;99998)), AND(L27&lt;&gt;"""", NOT(REGEXMATCH(L27&amp;"""", ""^\d{8,14}$"")))), ""Erro"", """")"),"")</f>
      </c>
    </row>
    <row r="28" ht="22.5" customHeight="true">
      <c r="A28" s="33" t="s">
        <v>114</v>
      </c>
      <c r="B28" s="34" t="str">
        <f t="shared" si="1"/>
      </c>
      <c r="C28" s="35" t="s">
        <v>115</v>
      </c>
      <c r="D28" s="36">
        <v>2931</v>
      </c>
      <c r="E28" s="37" t="s">
        <v>41</v>
      </c>
      <c r="F28" s="38"/>
      <c r="G28" s="39" t="str">
        <f t="shared" si="2"/>
      </c>
      <c r="H28" s="40" t="s">
        <v>116</v>
      </c>
      <c r="I28" s="41"/>
      <c r="J28" s="41"/>
      <c r="K28" s="41" t="s">
        <v>43</v>
      </c>
      <c r="L28" s="42" t="s">
        <v>44</v>
      </c>
      <c r="M28" s="43" t="s">
        <v>45</v>
      </c>
      <c r="N28" s="44" t="s">
        <v>47</v>
      </c>
      <c r="O28" s="45" t="s">
        <v>46</v>
      </c>
      <c r="P28" s="46" t="str">
        <f>IFERROR(__xludf.DUMMYFUNCTION("IF(OR(AND(C28&lt;&gt;"""", LEN(C28)&lt;3), LEN(C28)&gt;60, AND(D28&lt;&gt;"""", NOT(ISNUMBER(D28))), AND(ISNUMBER(D28), OR(D28&lt;0.01, D28&gt;999999999)), AND(COUNTA(D28:F28, H28:N28)&gt;0, C28=""""),                  
  AND(COUNTA(C28, H28:N28)&gt;0, D28=""""), LEN(H28)&gt;50, AND(I28&lt;"&amp;"&gt;"""", NOT(ISNUMBER(I28))), AND(ISNUMBER(I28), OR(I28&lt;0, I28&gt;99998)), AND(L28&lt;&gt;"""", NOT(REGEXMATCH(L28&amp;"""", ""^\d{8,14}$"")))), ""Erro"", """")"),"")</f>
      </c>
    </row>
    <row r="29" ht="22.5" customHeight="true">
      <c r="A29" s="33" t="s">
        <v>117</v>
      </c>
      <c r="B29" s="34" t="str">
        <f t="shared" si="1"/>
      </c>
      <c r="C29" s="35" t="s">
        <v>118</v>
      </c>
      <c r="D29" s="36">
        <v>55650</v>
      </c>
      <c r="E29" s="37" t="s">
        <v>41</v>
      </c>
      <c r="F29" s="38"/>
      <c r="G29" s="39" t="str">
        <f t="shared" si="2"/>
      </c>
      <c r="H29" s="40" t="s">
        <v>119</v>
      </c>
      <c r="I29" s="41"/>
      <c r="J29" s="41"/>
      <c r="K29" s="41" t="s">
        <v>70</v>
      </c>
      <c r="L29" s="42" t="s">
        <v>44</v>
      </c>
      <c r="M29" s="43" t="s">
        <v>45</v>
      </c>
      <c r="N29" s="44" t="s">
        <v>47</v>
      </c>
      <c r="O29" s="45" t="s">
        <v>46</v>
      </c>
      <c r="P29" s="46" t="str">
        <f>IFERROR(__xludf.DUMMYFUNCTION("IF(OR(AND(C29&lt;&gt;"""", LEN(C29)&lt;3), LEN(C29)&gt;60, AND(D29&lt;&gt;"""", NOT(ISNUMBER(D29))), AND(ISNUMBER(D29), OR(D29&lt;0.01, D29&gt;999999999)), AND(COUNTA(D29:F29, H29:N29)&gt;0, C29=""""),                  
  AND(COUNTA(C29, H29:N29)&gt;0, D29=""""), LEN(H29)&gt;50, AND(I29&lt;"&amp;"&gt;"""", NOT(ISNUMBER(I29))), AND(ISNUMBER(I29), OR(I29&lt;0, I29&gt;99998)), AND(L29&lt;&gt;"""", NOT(REGEXMATCH(L29&amp;"""", ""^\d{8,14}$"")))), ""Erro"", """")"),"")</f>
      </c>
    </row>
    <row r="30" ht="22.5" customHeight="true">
      <c r="A30" s="33" t="s">
        <v>120</v>
      </c>
      <c r="B30" s="34" t="str">
        <f t="shared" si="1"/>
      </c>
      <c r="C30" s="35" t="s">
        <v>121</v>
      </c>
      <c r="D30" s="36">
        <v>413</v>
      </c>
      <c r="E30" s="37" t="s">
        <v>41</v>
      </c>
      <c r="F30" s="38"/>
      <c r="G30" s="39" t="str">
        <f t="shared" si="2"/>
      </c>
      <c r="H30" s="40" t="s">
        <v>122</v>
      </c>
      <c r="I30" s="41"/>
      <c r="J30" s="41"/>
      <c r="K30" s="41" t="s">
        <v>43</v>
      </c>
      <c r="L30" s="42" t="s">
        <v>44</v>
      </c>
      <c r="M30" s="43" t="s">
        <v>45</v>
      </c>
      <c r="N30" s="44" t="s">
        <v>47</v>
      </c>
      <c r="O30" s="45" t="s">
        <v>46</v>
      </c>
      <c r="P30" s="46" t="str">
        <f>IFERROR(__xludf.DUMMYFUNCTION("IF(OR(AND(C30&lt;&gt;"""", LEN(C30)&lt;3), LEN(C30)&gt;60, AND(D30&lt;&gt;"""", NOT(ISNUMBER(D30))), AND(ISNUMBER(D30), OR(D30&lt;0.01, D30&gt;999999999)), AND(COUNTA(D30:F30, H30:N30)&gt;0, C30=""""),                  
  AND(COUNTA(C30, H30:N30)&gt;0, D30=""""), LEN(H30)&gt;50, AND(I30&lt;"&amp;"&gt;"""", NOT(ISNUMBER(I30))), AND(ISNUMBER(I30), OR(I30&lt;0, I30&gt;99998)), AND(L30&lt;&gt;"""", NOT(REGEXMATCH(L30&amp;"""", ""^\d{8,14}$"")))), ""Erro"", """")"),"")</f>
      </c>
    </row>
    <row r="31" ht="22.5" customHeight="true">
      <c r="A31" s="33" t="s">
        <v>123</v>
      </c>
      <c r="B31" s="34" t="str">
        <f t="shared" si="1"/>
      </c>
      <c r="C31" s="35" t="s">
        <v>124</v>
      </c>
      <c r="D31" s="36">
        <v>624</v>
      </c>
      <c r="E31" s="37" t="s">
        <v>41</v>
      </c>
      <c r="F31" s="38"/>
      <c r="G31" s="39" t="str">
        <f t="shared" si="2"/>
      </c>
      <c r="H31" s="40" t="s">
        <v>125</v>
      </c>
      <c r="I31" s="41"/>
      <c r="J31" s="41"/>
      <c r="K31" s="41" t="s">
        <v>43</v>
      </c>
      <c r="L31" s="42" t="s">
        <v>44</v>
      </c>
      <c r="M31" s="43" t="s">
        <v>45</v>
      </c>
      <c r="N31" s="44" t="s">
        <v>47</v>
      </c>
      <c r="O31" s="45" t="s">
        <v>46</v>
      </c>
      <c r="P31" s="46" t="str">
        <f>IFERROR(__xludf.DUMMYFUNCTION("IF(OR(AND(C31&lt;&gt;"""", LEN(C31)&lt;3), LEN(C31)&gt;60, AND(D31&lt;&gt;"""", NOT(ISNUMBER(D31))), AND(ISNUMBER(D31), OR(D31&lt;0.01, D31&gt;999999999)), AND(COUNTA(D31:F31, H31:N31)&gt;0, C31=""""),                  
  AND(COUNTA(C31, H31:N31)&gt;0, D31=""""), LEN(H31)&gt;50, AND(I31&lt;"&amp;"&gt;"""", NOT(ISNUMBER(I31))), AND(ISNUMBER(I31), OR(I31&lt;0, I31&gt;99998)), AND(L31&lt;&gt;"""", NOT(REGEXMATCH(L31&amp;"""", ""^\d{8,14}$"")))), ""Erro"", """")"),"")</f>
      </c>
    </row>
    <row r="32" ht="22.5" customHeight="true">
      <c r="A32" s="33" t="s">
        <v>126</v>
      </c>
      <c r="B32" s="34" t="str">
        <f t="shared" si="1"/>
      </c>
      <c r="C32" s="35" t="s">
        <v>127</v>
      </c>
      <c r="D32" s="36">
        <v>1002</v>
      </c>
      <c r="E32" s="37" t="s">
        <v>41</v>
      </c>
      <c r="F32" s="38"/>
      <c r="G32" s="39" t="str">
        <f t="shared" si="2"/>
      </c>
      <c r="H32" s="40" t="s">
        <v>128</v>
      </c>
      <c r="I32" s="41"/>
      <c r="J32" s="41"/>
      <c r="K32" s="41" t="s">
        <v>43</v>
      </c>
      <c r="L32" s="42" t="s">
        <v>44</v>
      </c>
      <c r="M32" s="43" t="s">
        <v>45</v>
      </c>
      <c r="N32" s="44" t="s">
        <v>47</v>
      </c>
      <c r="O32" s="45" t="s">
        <v>46</v>
      </c>
      <c r="P32" s="46" t="str">
        <f>IFERROR(__xludf.DUMMYFUNCTION("IF(OR(AND(C32&lt;&gt;"""", LEN(C32)&lt;3), LEN(C32)&gt;60, AND(D32&lt;&gt;"""", NOT(ISNUMBER(D32))), AND(ISNUMBER(D32), OR(D32&lt;0.01, D32&gt;999999999)), AND(COUNTA(D32:F32, H32:N32)&gt;0, C32=""""),                  
  AND(COUNTA(C32, H32:N32)&gt;0, D32=""""), LEN(H32)&gt;50, AND(I32&lt;"&amp;"&gt;"""", NOT(ISNUMBER(I32))), AND(ISNUMBER(I32), OR(I32&lt;0, I32&gt;99998)), AND(L32&lt;&gt;"""", NOT(REGEXMATCH(L32&amp;"""", ""^\d{8,14}$"")))), ""Erro"", """")"),"")</f>
      </c>
    </row>
    <row r="33" ht="22.5" customHeight="true">
      <c r="A33" s="33" t="s">
        <v>129</v>
      </c>
      <c r="B33" s="34" t="str">
        <f t="shared" si="1"/>
      </c>
      <c r="C33" s="35" t="s">
        <v>130</v>
      </c>
      <c r="D33" s="36">
        <v>657</v>
      </c>
      <c r="E33" s="37" t="s">
        <v>41</v>
      </c>
      <c r="F33" s="38"/>
      <c r="G33" s="39" t="str">
        <f t="shared" si="2"/>
      </c>
      <c r="H33" s="40" t="s">
        <v>131</v>
      </c>
      <c r="I33" s="41"/>
      <c r="J33" s="41"/>
      <c r="K33" s="41" t="s">
        <v>43</v>
      </c>
      <c r="L33" s="42" t="s">
        <v>44</v>
      </c>
      <c r="M33" s="43" t="s">
        <v>45</v>
      </c>
      <c r="N33" s="44" t="s">
        <v>47</v>
      </c>
      <c r="O33" s="45" t="s">
        <v>46</v>
      </c>
      <c r="P33" s="46" t="str">
        <f>IFERROR(__xludf.DUMMYFUNCTION("IF(OR(AND(C33&lt;&gt;"""", LEN(C33)&lt;3), LEN(C33)&gt;60, AND(D33&lt;&gt;"""", NOT(ISNUMBER(D33))), AND(ISNUMBER(D33), OR(D33&lt;0.01, D33&gt;999999999)), AND(COUNTA(D33:F33, H33:N33)&gt;0, C33=""""),                  
  AND(COUNTA(C33, H33:N33)&gt;0, D33=""""), LEN(H33)&gt;50, AND(I33&lt;"&amp;"&gt;"""", NOT(ISNUMBER(I33))), AND(ISNUMBER(I33), OR(I33&lt;0, I33&gt;99998)), AND(L33&lt;&gt;"""", NOT(REGEXMATCH(L33&amp;"""", ""^\d{8,14}$"")))), ""Erro"", """")"),"")</f>
      </c>
    </row>
    <row r="34" ht="22.5" customHeight="true">
      <c r="A34" s="33" t="s">
        <v>132</v>
      </c>
      <c r="B34" s="34" t="str">
        <f t="shared" si="1"/>
      </c>
      <c r="C34" s="35" t="s">
        <v>133</v>
      </c>
      <c r="D34" s="36">
        <v>1333</v>
      </c>
      <c r="E34" s="37" t="s">
        <v>41</v>
      </c>
      <c r="F34" s="38"/>
      <c r="G34" s="39" t="str">
        <f t="shared" si="2"/>
      </c>
      <c r="H34" s="40" t="s">
        <v>134</v>
      </c>
      <c r="I34" s="41"/>
      <c r="J34" s="41"/>
      <c r="K34" s="41" t="s">
        <v>43</v>
      </c>
      <c r="L34" s="42" t="s">
        <v>44</v>
      </c>
      <c r="M34" s="43" t="s">
        <v>45</v>
      </c>
      <c r="N34" s="44" t="s">
        <v>47</v>
      </c>
      <c r="O34" s="45" t="s">
        <v>46</v>
      </c>
      <c r="P34" s="46" t="str">
        <f>IFERROR(__xludf.DUMMYFUNCTION("IF(OR(AND(C34&lt;&gt;"""", LEN(C34)&lt;3), LEN(C34)&gt;60, AND(D34&lt;&gt;"""", NOT(ISNUMBER(D34))), AND(ISNUMBER(D34), OR(D34&lt;0.01, D34&gt;999999999)), AND(COUNTA(D34:F34, H34:N34)&gt;0, C34=""""),                  
  AND(COUNTA(C34, H34:N34)&gt;0, D34=""""), LEN(H34)&gt;50, AND(I34&lt;"&amp;"&gt;"""", NOT(ISNUMBER(I34))), AND(ISNUMBER(I34), OR(I34&lt;0, I34&gt;99998)), AND(L34&lt;&gt;"""", NOT(REGEXMATCH(L34&amp;"""", ""^\d{8,14}$"")))), ""Erro"", """")"),"")</f>
      </c>
    </row>
    <row r="35" ht="22.5" customHeight="true">
      <c r="A35" s="33" t="s">
        <v>135</v>
      </c>
      <c r="B35" s="34" t="str">
        <f t="shared" si="1"/>
      </c>
      <c r="C35" s="35" t="s">
        <v>136</v>
      </c>
      <c r="D35" s="36">
        <v>890</v>
      </c>
      <c r="E35" s="37" t="s">
        <v>41</v>
      </c>
      <c r="F35" s="38"/>
      <c r="G35" s="39" t="str">
        <f t="shared" si="2"/>
      </c>
      <c r="H35" s="40" t="s">
        <v>137</v>
      </c>
      <c r="I35" s="41"/>
      <c r="J35" s="41"/>
      <c r="K35" s="41" t="s">
        <v>43</v>
      </c>
      <c r="L35" s="42" t="s">
        <v>44</v>
      </c>
      <c r="M35" s="43" t="s">
        <v>45</v>
      </c>
      <c r="N35" s="44" t="s">
        <v>47</v>
      </c>
      <c r="O35" s="45" t="s">
        <v>46</v>
      </c>
      <c r="P35" s="46" t="str">
        <f>IFERROR(__xludf.DUMMYFUNCTION("IF(OR(AND(C35&lt;&gt;"""", LEN(C35)&lt;3), LEN(C35)&gt;60, AND(D35&lt;&gt;"""", NOT(ISNUMBER(D35))), AND(ISNUMBER(D35), OR(D35&lt;0.01, D35&gt;999999999)), AND(COUNTA(D35:F35, H35:N35)&gt;0, C35=""""),                  
  AND(COUNTA(C35, H35:N35)&gt;0, D35=""""), LEN(H35)&gt;50, AND(I35&lt;"&amp;"&gt;"""", NOT(ISNUMBER(I35))), AND(ISNUMBER(I35), OR(I35&lt;0, I35&gt;99998)), AND(L35&lt;&gt;"""", NOT(REGEXMATCH(L35&amp;"""", ""^\d{8,14}$"")))), ""Erro"", """")"),"")</f>
      </c>
    </row>
    <row r="36" ht="22.5" customHeight="true">
      <c r="A36" s="33" t="s">
        <v>138</v>
      </c>
      <c r="B36" s="34" t="str">
        <f t="shared" si="1"/>
      </c>
      <c r="C36" s="35" t="s">
        <v>139</v>
      </c>
      <c r="D36" s="36">
        <v>58000</v>
      </c>
      <c r="E36" s="37" t="s">
        <v>41</v>
      </c>
      <c r="F36" s="38"/>
      <c r="G36" s="39" t="str">
        <f t="shared" si="2"/>
      </c>
      <c r="H36" s="40" t="s">
        <v>140</v>
      </c>
      <c r="I36" s="41"/>
      <c r="J36" s="41"/>
      <c r="K36" s="41" t="s">
        <v>65</v>
      </c>
      <c r="L36" s="42" t="s">
        <v>44</v>
      </c>
      <c r="M36" s="43" t="s">
        <v>45</v>
      </c>
      <c r="N36" s="44" t="s">
        <v>47</v>
      </c>
      <c r="O36" s="45" t="s">
        <v>46</v>
      </c>
      <c r="P36" s="46" t="str">
        <f>IFERROR(__xludf.DUMMYFUNCTION("IF(OR(AND(C36&lt;&gt;"""", LEN(C36)&lt;3), LEN(C36)&gt;60, AND(D36&lt;&gt;"""", NOT(ISNUMBER(D36))), AND(ISNUMBER(D36), OR(D36&lt;0.01, D36&gt;999999999)), AND(COUNTA(D36:F36, H36:N36)&gt;0, C36=""""),                  
  AND(COUNTA(C36, H36:N36)&gt;0, D36=""""), LEN(H36)&gt;50, AND(I36&lt;"&amp;"&gt;"""", NOT(ISNUMBER(I36))), AND(ISNUMBER(I36), OR(I36&lt;0, I36&gt;99998)), AND(L36&lt;&gt;"""", NOT(REGEXMATCH(L36&amp;"""", ""^\d{8,14}$"")))), ""Erro"", """")"),"")</f>
      </c>
    </row>
    <row r="37" ht="22.5" customHeight="true">
      <c r="A37" s="33" t="s">
        <v>141</v>
      </c>
      <c r="B37" s="34" t="str">
        <f t="shared" si="1"/>
      </c>
      <c r="C37" s="35" t="s">
        <v>142</v>
      </c>
      <c r="D37" s="36">
        <v>1309</v>
      </c>
      <c r="E37" s="37" t="s">
        <v>41</v>
      </c>
      <c r="F37" s="38"/>
      <c r="G37" s="39" t="str">
        <f t="shared" si="2"/>
      </c>
      <c r="H37" s="40" t="s">
        <v>142</v>
      </c>
      <c r="I37" s="41"/>
      <c r="J37" s="41"/>
      <c r="K37" s="41" t="s">
        <v>43</v>
      </c>
      <c r="L37" s="42" t="s">
        <v>44</v>
      </c>
      <c r="M37" s="43" t="s">
        <v>45</v>
      </c>
      <c r="N37" s="44" t="s">
        <v>47</v>
      </c>
      <c r="O37" s="45" t="s">
        <v>46</v>
      </c>
      <c r="P37" s="46" t="str">
        <f>IFERROR(__xludf.DUMMYFUNCTION("IF(OR(AND(C37&lt;&gt;"""", LEN(C37)&lt;3), LEN(C37)&gt;60, AND(D37&lt;&gt;"""", NOT(ISNUMBER(D37))), AND(ISNUMBER(D37), OR(D37&lt;0.01, D37&gt;999999999)), AND(COUNTA(D37:F37, H37:N37)&gt;0, C37=""""),                  
  AND(COUNTA(C37, H37:N37)&gt;0, D37=""""), LEN(H37)&gt;50, AND(I37&lt;"&amp;"&gt;"""", NOT(ISNUMBER(I37))), AND(ISNUMBER(I37), OR(I37&lt;0, I37&gt;99998)), AND(L37&lt;&gt;"""", NOT(REGEXMATCH(L37&amp;"""", ""^\d{8,14}$"")))), ""Erro"", """")"),"")</f>
      </c>
    </row>
    <row r="38" ht="22.5" customHeight="true">
      <c r="A38" s="33" t="s">
        <v>143</v>
      </c>
      <c r="B38" s="34" t="str">
        <f t="shared" si="1"/>
      </c>
      <c r="C38" s="35" t="s">
        <v>144</v>
      </c>
      <c r="D38" s="36">
        <v>3500</v>
      </c>
      <c r="E38" s="37" t="s">
        <v>41</v>
      </c>
      <c r="F38" s="38"/>
      <c r="G38" s="39" t="str">
        <f t="shared" si="2"/>
      </c>
      <c r="H38" s="40" t="s">
        <v>145</v>
      </c>
      <c r="I38" s="41"/>
      <c r="J38" s="41"/>
      <c r="K38" s="41" t="s">
        <v>43</v>
      </c>
      <c r="L38" s="42" t="s">
        <v>44</v>
      </c>
      <c r="M38" s="43" t="s">
        <v>45</v>
      </c>
      <c r="N38" s="44" t="s">
        <v>47</v>
      </c>
      <c r="O38" s="45" t="s">
        <v>46</v>
      </c>
      <c r="P38" s="46" t="str">
        <f>IFERROR(__xludf.DUMMYFUNCTION("IF(OR(AND(C38&lt;&gt;"""", LEN(C38)&lt;3), LEN(C38)&gt;60, AND(D38&lt;&gt;"""", NOT(ISNUMBER(D38))), AND(ISNUMBER(D38), OR(D38&lt;0.01, D38&gt;999999999)), AND(COUNTA(D38:F38, H38:N38)&gt;0, C38=""""),                  
  AND(COUNTA(C38, H38:N38)&gt;0, D38=""""), LEN(H38)&gt;50, AND(I38&lt;"&amp;"&gt;"""", NOT(ISNUMBER(I38))), AND(ISNUMBER(I38), OR(I38&lt;0, I38&gt;99998)), AND(L38&lt;&gt;"""", NOT(REGEXMATCH(L38&amp;"""", ""^\d{8,14}$"")))), ""Erro"", """")"),"")</f>
      </c>
    </row>
    <row r="39" ht="22.5" customHeight="true">
      <c r="A39" s="33" t="s">
        <v>146</v>
      </c>
      <c r="B39" s="34" t="str">
        <f t="shared" si="1"/>
      </c>
      <c r="C39" s="35" t="s">
        <v>147</v>
      </c>
      <c r="D39" s="36">
        <v>78800</v>
      </c>
      <c r="E39" s="37" t="s">
        <v>41</v>
      </c>
      <c r="F39" s="38"/>
      <c r="G39" s="39" t="str">
        <f t="shared" si="2"/>
      </c>
      <c r="H39" s="40" t="s">
        <v>148</v>
      </c>
      <c r="I39" s="41"/>
      <c r="J39" s="41"/>
      <c r="K39" s="41" t="s">
        <v>65</v>
      </c>
      <c r="L39" s="42" t="s">
        <v>44</v>
      </c>
      <c r="M39" s="43" t="s">
        <v>45</v>
      </c>
      <c r="N39" s="44" t="s">
        <v>47</v>
      </c>
      <c r="O39" s="45" t="s">
        <v>149</v>
      </c>
      <c r="P39" s="46" t="str">
        <f>IFERROR(__xludf.DUMMYFUNCTION("IF(OR(AND(C39&lt;&gt;"""", LEN(C39)&lt;3), LEN(C39)&gt;60, AND(D39&lt;&gt;"""", NOT(ISNUMBER(D39))), AND(ISNUMBER(D39), OR(D39&lt;0.01, D39&gt;999999999)), AND(COUNTA(D39:F39, H39:N39)&gt;0, C39=""""),                  
  AND(COUNTA(C39, H39:N39)&gt;0, D39=""""), LEN(H39)&gt;50, AND(I39&lt;"&amp;"&gt;"""", NOT(ISNUMBER(I39))), AND(ISNUMBER(I39), OR(I39&lt;0, I39&gt;99998)), AND(L39&lt;&gt;"""", NOT(REGEXMATCH(L39&amp;"""", ""^\d{8,14}$"")))), ""Erro"", """")"),"")</f>
      </c>
    </row>
    <row r="40" ht="22.5" customHeight="true">
      <c r="A40" s="33" t="s">
        <v>150</v>
      </c>
      <c r="B40" s="34" t="str">
        <f t="shared" si="1"/>
      </c>
      <c r="C40" s="35" t="s">
        <v>151</v>
      </c>
      <c r="D40" s="36">
        <v>43000</v>
      </c>
      <c r="E40" s="37" t="s">
        <v>41</v>
      </c>
      <c r="F40" s="38"/>
      <c r="G40" s="39" t="str">
        <f t="shared" si="2"/>
      </c>
      <c r="H40" s="40" t="s">
        <v>152</v>
      </c>
      <c r="I40" s="41"/>
      <c r="J40" s="41"/>
      <c r="K40" s="41" t="s">
        <v>70</v>
      </c>
      <c r="L40" s="42" t="s">
        <v>44</v>
      </c>
      <c r="M40" s="43" t="s">
        <v>45</v>
      </c>
      <c r="N40" s="44" t="s">
        <v>47</v>
      </c>
      <c r="O40" s="45" t="s">
        <v>46</v>
      </c>
      <c r="P40" s="46" t="str">
        <f>IFERROR(__xludf.DUMMYFUNCTION("IF(OR(AND(C40&lt;&gt;"""", LEN(C40)&lt;3), LEN(C40)&gt;60, AND(D40&lt;&gt;"""", NOT(ISNUMBER(D40))), AND(ISNUMBER(D40), OR(D40&lt;0.01, D40&gt;999999999)), AND(COUNTA(D40:F40, H40:N40)&gt;0, C40=""""),                  
  AND(COUNTA(C40, H40:N40)&gt;0, D40=""""), LEN(H40)&gt;50, AND(I40&lt;"&amp;"&gt;"""", NOT(ISNUMBER(I40))), AND(ISNUMBER(I40), OR(I40&lt;0, I40&gt;99998)), AND(L40&lt;&gt;"""", NOT(REGEXMATCH(L40&amp;"""", ""^\d{8,14}$"")))), ""Erro"", """")"),"")</f>
      </c>
    </row>
    <row r="41" ht="22.5" customHeight="true">
      <c r="A41" s="33" t="s">
        <v>153</v>
      </c>
      <c r="B41" s="34" t="str">
        <f t="shared" si="1"/>
      </c>
      <c r="C41" s="35" t="s">
        <v>154</v>
      </c>
      <c r="D41" s="36">
        <v>233</v>
      </c>
      <c r="E41" s="37" t="s">
        <v>41</v>
      </c>
      <c r="F41" s="38"/>
      <c r="G41" s="39" t="str">
        <f t="shared" si="2"/>
      </c>
      <c r="H41" s="40" t="s">
        <v>155</v>
      </c>
      <c r="I41" s="41"/>
      <c r="J41" s="41"/>
      <c r="K41" s="41" t="s">
        <v>43</v>
      </c>
      <c r="L41" s="42" t="s">
        <v>44</v>
      </c>
      <c r="M41" s="43" t="s">
        <v>45</v>
      </c>
      <c r="N41" s="44" t="s">
        <v>47</v>
      </c>
      <c r="O41" s="45" t="s">
        <v>46</v>
      </c>
      <c r="P41" s="46" t="str">
        <f>IFERROR(__xludf.DUMMYFUNCTION("IF(OR(AND(C41&lt;&gt;"""", LEN(C41)&lt;3), LEN(C41)&gt;60, AND(D41&lt;&gt;"""", NOT(ISNUMBER(D41))), AND(ISNUMBER(D41), OR(D41&lt;0.01, D41&gt;999999999)), AND(COUNTA(D41:F41, H41:N41)&gt;0, C41=""""),                  
  AND(COUNTA(C41, H41:N41)&gt;0, D41=""""), LEN(H41)&gt;50, AND(I41&lt;"&amp;"&gt;"""", NOT(ISNUMBER(I41))), AND(ISNUMBER(I41), OR(I41&lt;0, I41&gt;99998)), AND(L41&lt;&gt;"""", NOT(REGEXMATCH(L41&amp;"""", ""^\d{8,14}$"")))), ""Erro"", """")"),"")</f>
      </c>
    </row>
    <row r="42" ht="22.5" customHeight="true">
      <c r="A42" s="33" t="s">
        <v>156</v>
      </c>
      <c r="B42" s="34" t="str">
        <f t="shared" si="1"/>
      </c>
      <c r="C42" s="35" t="s">
        <v>157</v>
      </c>
      <c r="D42" s="36">
        <v>191</v>
      </c>
      <c r="E42" s="37" t="s">
        <v>41</v>
      </c>
      <c r="F42" s="38"/>
      <c r="G42" s="39" t="str">
        <f t="shared" si="2"/>
      </c>
      <c r="H42" s="40" t="s">
        <v>158</v>
      </c>
      <c r="I42" s="41"/>
      <c r="J42" s="41"/>
      <c r="K42" s="41" t="s">
        <v>43</v>
      </c>
      <c r="L42" s="42" t="s">
        <v>44</v>
      </c>
      <c r="M42" s="43" t="s">
        <v>45</v>
      </c>
      <c r="N42" s="44" t="s">
        <v>47</v>
      </c>
      <c r="O42" s="45" t="s">
        <v>46</v>
      </c>
      <c r="P42" s="46" t="str">
        <f>IFERROR(__xludf.DUMMYFUNCTION("IF(OR(AND(C42&lt;&gt;"""", LEN(C42)&lt;3), LEN(C42)&gt;60, AND(D42&lt;&gt;"""", NOT(ISNUMBER(D42))), AND(ISNUMBER(D42), OR(D42&lt;0.01, D42&gt;999999999)), AND(COUNTA(D42:F42, H42:N42)&gt;0, C42=""""),                  
  AND(COUNTA(C42, H42:N42)&gt;0, D42=""""), LEN(H42)&gt;50, AND(I42&lt;"&amp;"&gt;"""", NOT(ISNUMBER(I42))), AND(ISNUMBER(I42), OR(I42&lt;0, I42&gt;99998)), AND(L42&lt;&gt;"""", NOT(REGEXMATCH(L42&amp;"""", ""^\d{8,14}$"")))), ""Erro"", """")"),"")</f>
      </c>
    </row>
    <row r="43" ht="22.5" customHeight="true">
      <c r="A43" s="33" t="s">
        <v>159</v>
      </c>
      <c r="B43" s="34" t="str">
        <f t="shared" si="1"/>
      </c>
      <c r="C43" s="35" t="s">
        <v>160</v>
      </c>
      <c r="D43" s="36">
        <v>42300</v>
      </c>
      <c r="E43" s="37" t="s">
        <v>41</v>
      </c>
      <c r="F43" s="38"/>
      <c r="G43" s="39" t="str">
        <f t="shared" si="2"/>
      </c>
      <c r="H43" s="40" t="s">
        <v>161</v>
      </c>
      <c r="I43" s="41"/>
      <c r="J43" s="41"/>
      <c r="K43" s="41" t="s">
        <v>70</v>
      </c>
      <c r="L43" s="42" t="s">
        <v>44</v>
      </c>
      <c r="M43" s="43" t="s">
        <v>45</v>
      </c>
      <c r="N43" s="44" t="s">
        <v>47</v>
      </c>
      <c r="O43" s="45" t="s">
        <v>46</v>
      </c>
      <c r="P43" s="46" t="str">
        <f>IFERROR(__xludf.DUMMYFUNCTION("IF(OR(AND(C43&lt;&gt;"""", LEN(C43)&lt;3), LEN(C43)&gt;60, AND(D43&lt;&gt;"""", NOT(ISNUMBER(D43))), AND(ISNUMBER(D43), OR(D43&lt;0.01, D43&gt;999999999)), AND(COUNTA(D43:F43, H43:N43)&gt;0, C43=""""),                  
  AND(COUNTA(C43, H43:N43)&gt;0, D43=""""), LEN(H43)&gt;50, AND(I43&lt;"&amp;"&gt;"""", NOT(ISNUMBER(I43))), AND(ISNUMBER(I43), OR(I43&lt;0, I43&gt;99998)), AND(L43&lt;&gt;"""", NOT(REGEXMATCH(L43&amp;"""", ""^\d{8,14}$"")))), ""Erro"", """")"),"")</f>
      </c>
    </row>
    <row r="44" ht="22.5" customHeight="true">
      <c r="A44" s="33" t="s">
        <v>162</v>
      </c>
      <c r="B44" s="34" t="str">
        <f t="shared" si="1"/>
      </c>
      <c r="C44" s="35" t="s">
        <v>163</v>
      </c>
      <c r="D44" s="36">
        <v>233</v>
      </c>
      <c r="E44" s="37" t="s">
        <v>41</v>
      </c>
      <c r="F44" s="38"/>
      <c r="G44" s="39" t="str">
        <f t="shared" si="2"/>
      </c>
      <c r="H44" s="40" t="s">
        <v>164</v>
      </c>
      <c r="I44" s="41"/>
      <c r="J44" s="41"/>
      <c r="K44" s="41" t="s">
        <v>43</v>
      </c>
      <c r="L44" s="42" t="s">
        <v>44</v>
      </c>
      <c r="M44" s="43" t="s">
        <v>45</v>
      </c>
      <c r="N44" s="44" t="s">
        <v>47</v>
      </c>
      <c r="O44" s="45" t="s">
        <v>46</v>
      </c>
      <c r="P44" s="46" t="str">
        <f>IFERROR(__xludf.DUMMYFUNCTION("IF(OR(AND(C44&lt;&gt;"""", LEN(C44)&lt;3), LEN(C44)&gt;60, AND(D44&lt;&gt;"""", NOT(ISNUMBER(D44))), AND(ISNUMBER(D44), OR(D44&lt;0.01, D44&gt;999999999)), AND(COUNTA(D44:F44, H44:N44)&gt;0, C44=""""),                  
  AND(COUNTA(C44, H44:N44)&gt;0, D44=""""), LEN(H44)&gt;50, AND(I44&lt;"&amp;"&gt;"""", NOT(ISNUMBER(I44))), AND(ISNUMBER(I44), OR(I44&lt;0, I44&gt;99998)), AND(L44&lt;&gt;"""", NOT(REGEXMATCH(L44&amp;"""", ""^\d{8,14}$"")))), ""Erro"", """")"),"")</f>
      </c>
    </row>
    <row r="45" ht="22.5" customHeight="true">
      <c r="A45" s="33" t="s">
        <v>165</v>
      </c>
      <c r="B45" s="34" t="str">
        <f t="shared" si="1"/>
      </c>
      <c r="C45" s="35" t="s">
        <v>166</v>
      </c>
      <c r="D45" s="36">
        <v>769</v>
      </c>
      <c r="E45" s="37" t="s">
        <v>41</v>
      </c>
      <c r="F45" s="38"/>
      <c r="G45" s="39" t="str">
        <f t="shared" si="2"/>
      </c>
      <c r="H45" s="40" t="s">
        <v>167</v>
      </c>
      <c r="I45" s="41"/>
      <c r="J45" s="41"/>
      <c r="K45" s="41" t="s">
        <v>43</v>
      </c>
      <c r="L45" s="42" t="s">
        <v>44</v>
      </c>
      <c r="M45" s="43" t="s">
        <v>45</v>
      </c>
      <c r="N45" s="44" t="s">
        <v>47</v>
      </c>
      <c r="O45" s="45" t="s">
        <v>46</v>
      </c>
      <c r="P45" s="46" t="str">
        <f>IFERROR(__xludf.DUMMYFUNCTION("IF(OR(AND(C45&lt;&gt;"""", LEN(C45)&lt;3), LEN(C45)&gt;60, AND(D45&lt;&gt;"""", NOT(ISNUMBER(D45))), AND(ISNUMBER(D45), OR(D45&lt;0.01, D45&gt;999999999)), AND(COUNTA(D45:F45, H45:N45)&gt;0, C45=""""),                  
  AND(COUNTA(C45, H45:N45)&gt;0, D45=""""), LEN(H45)&gt;50, AND(I45&lt;"&amp;"&gt;"""", NOT(ISNUMBER(I45))), AND(ISNUMBER(I45), OR(I45&lt;0, I45&gt;99998)), AND(L45&lt;&gt;"""", NOT(REGEXMATCH(L45&amp;"""", ""^\d{8,14}$"")))), ""Erro"", """")"),"")</f>
      </c>
    </row>
    <row r="46" ht="22.5" customHeight="true">
      <c r="A46" s="33" t="s">
        <v>168</v>
      </c>
      <c r="B46" s="34" t="str">
        <f t="shared" si="1"/>
      </c>
      <c r="C46" s="35" t="s">
        <v>169</v>
      </c>
      <c r="D46" s="36">
        <v>583</v>
      </c>
      <c r="E46" s="37" t="s">
        <v>41</v>
      </c>
      <c r="F46" s="38"/>
      <c r="G46" s="39" t="str">
        <f t="shared" si="2"/>
      </c>
      <c r="H46" s="40" t="s">
        <v>170</v>
      </c>
      <c r="I46" s="41"/>
      <c r="J46" s="41"/>
      <c r="K46" s="41" t="s">
        <v>43</v>
      </c>
      <c r="L46" s="42" t="s">
        <v>44</v>
      </c>
      <c r="M46" s="43" t="s">
        <v>45</v>
      </c>
      <c r="N46" s="44" t="s">
        <v>47</v>
      </c>
      <c r="O46" s="45" t="s">
        <v>46</v>
      </c>
      <c r="P46" s="46" t="str">
        <f>IFERROR(__xludf.DUMMYFUNCTION("IF(OR(AND(C46&lt;&gt;"""", LEN(C46)&lt;3), LEN(C46)&gt;60, AND(D46&lt;&gt;"""", NOT(ISNUMBER(D46))), AND(ISNUMBER(D46), OR(D46&lt;0.01, D46&gt;999999999)), AND(COUNTA(D46:F46, H46:N46)&gt;0, C46=""""),                  
  AND(COUNTA(C46, H46:N46)&gt;0, D46=""""), LEN(H46)&gt;50, AND(I46&lt;"&amp;"&gt;"""", NOT(ISNUMBER(I46))), AND(ISNUMBER(I46), OR(I46&lt;0, I46&gt;99998)), AND(L46&lt;&gt;"""", NOT(REGEXMATCH(L46&amp;"""", ""^\d{8,14}$"")))), ""Erro"", """")"),"")</f>
      </c>
    </row>
    <row r="47" ht="22.5" customHeight="true">
      <c r="A47" s="33" t="s">
        <v>171</v>
      </c>
      <c r="B47" s="34" t="str">
        <f t="shared" si="1"/>
      </c>
      <c r="C47" s="35" t="s">
        <v>172</v>
      </c>
      <c r="D47" s="36">
        <v>10100</v>
      </c>
      <c r="E47" s="37" t="s">
        <v>41</v>
      </c>
      <c r="F47" s="38"/>
      <c r="G47" s="39" t="str">
        <f t="shared" si="2"/>
      </c>
      <c r="H47" s="40" t="s">
        <v>173</v>
      </c>
      <c r="I47" s="41"/>
      <c r="J47" s="41"/>
      <c r="K47" s="41" t="s">
        <v>174</v>
      </c>
      <c r="L47" s="42" t="s">
        <v>44</v>
      </c>
      <c r="M47" s="43" t="s">
        <v>45</v>
      </c>
      <c r="N47" s="44" t="s">
        <v>47</v>
      </c>
      <c r="O47" s="45" t="s">
        <v>58</v>
      </c>
      <c r="P47" s="46" t="str">
        <f>IFERROR(__xludf.DUMMYFUNCTION("IF(OR(AND(C47&lt;&gt;"""", LEN(C47)&lt;3), LEN(C47)&gt;60, AND(D47&lt;&gt;"""", NOT(ISNUMBER(D47))), AND(ISNUMBER(D47), OR(D47&lt;0.01, D47&gt;999999999)), AND(COUNTA(D47:F47, H47:N47)&gt;0, C47=""""),                  
  AND(COUNTA(C47, H47:N47)&gt;0, D47=""""), LEN(H47)&gt;50, AND(I47&lt;"&amp;"&gt;"""", NOT(ISNUMBER(I47))), AND(ISNUMBER(I47), OR(I47&lt;0, I47&gt;99998)), AND(L47&lt;&gt;"""", NOT(REGEXMATCH(L47&amp;"""", ""^\d{8,14}$"")))), ""Erro"", """")"),"")</f>
      </c>
    </row>
    <row r="48" ht="22.5" customHeight="true">
      <c r="A48" s="33" t="s">
        <v>175</v>
      </c>
      <c r="B48" s="34" t="str">
        <f t="shared" si="1"/>
      </c>
      <c r="C48" s="35" t="s">
        <v>176</v>
      </c>
      <c r="D48" s="36">
        <v>4749</v>
      </c>
      <c r="E48" s="37" t="s">
        <v>41</v>
      </c>
      <c r="F48" s="38"/>
      <c r="G48" s="39" t="str">
        <f t="shared" si="2"/>
      </c>
      <c r="H48" s="40" t="s">
        <v>177</v>
      </c>
      <c r="I48" s="41"/>
      <c r="J48" s="41"/>
      <c r="K48" s="41" t="s">
        <v>43</v>
      </c>
      <c r="L48" s="42" t="s">
        <v>44</v>
      </c>
      <c r="M48" s="43" t="s">
        <v>45</v>
      </c>
      <c r="N48" s="44" t="s">
        <v>47</v>
      </c>
      <c r="O48" s="45" t="s">
        <v>46</v>
      </c>
      <c r="P48" s="46" t="str">
        <f>IFERROR(__xludf.DUMMYFUNCTION("IF(OR(AND(C48&lt;&gt;"""", LEN(C48)&lt;3), LEN(C48)&gt;60, AND(D48&lt;&gt;"""", NOT(ISNUMBER(D48))), AND(ISNUMBER(D48), OR(D48&lt;0.01, D48&gt;999999999)), AND(COUNTA(D48:F48, H48:N48)&gt;0, C48=""""),                  
  AND(COUNTA(C48, H48:N48)&gt;0, D48=""""), LEN(H48)&gt;50, AND(I48&lt;"&amp;"&gt;"""", NOT(ISNUMBER(I48))), AND(ISNUMBER(I48), OR(I48&lt;0, I48&gt;99998)), AND(L48&lt;&gt;"""", NOT(REGEXMATCH(L48&amp;"""", ""^\d{8,14}$"")))), ""Erro"", """")"),"")</f>
      </c>
    </row>
    <row r="49" ht="22.5" customHeight="true">
      <c r="A49" s="33" t="s">
        <v>178</v>
      </c>
      <c r="B49" s="34" t="str">
        <f t="shared" si="1"/>
      </c>
      <c r="C49" s="35" t="s">
        <v>179</v>
      </c>
      <c r="D49" s="36">
        <v>456</v>
      </c>
      <c r="E49" s="37" t="s">
        <v>41</v>
      </c>
      <c r="F49" s="38"/>
      <c r="G49" s="39" t="str">
        <f t="shared" si="2"/>
      </c>
      <c r="H49" s="40" t="s">
        <v>180</v>
      </c>
      <c r="I49" s="41"/>
      <c r="J49" s="41"/>
      <c r="K49" s="41" t="s">
        <v>43</v>
      </c>
      <c r="L49" s="42" t="s">
        <v>44</v>
      </c>
      <c r="M49" s="43" t="s">
        <v>45</v>
      </c>
      <c r="N49" s="44" t="s">
        <v>47</v>
      </c>
      <c r="O49" s="45" t="s">
        <v>46</v>
      </c>
      <c r="P49" s="46" t="str">
        <f>IFERROR(__xludf.DUMMYFUNCTION("IF(OR(AND(C49&lt;&gt;"""", LEN(C49)&lt;3), LEN(C49)&gt;60, AND(D49&lt;&gt;"""", NOT(ISNUMBER(D49))), AND(ISNUMBER(D49), OR(D49&lt;0.01, D49&gt;999999999)), AND(COUNTA(D49:F49, H49:N49)&gt;0, C49=""""),                  
  AND(COUNTA(C49, H49:N49)&gt;0, D49=""""), LEN(H49)&gt;50, AND(I49&lt;"&amp;"&gt;"""", NOT(ISNUMBER(I49))), AND(ISNUMBER(I49), OR(I49&lt;0, I49&gt;99998)), AND(L49&lt;&gt;"""", NOT(REGEXMATCH(L49&amp;"""", ""^\d{8,14}$"")))), ""Erro"", """")"),"")</f>
      </c>
    </row>
    <row r="50" ht="22.5" customHeight="true">
      <c r="A50" s="33" t="s">
        <v>181</v>
      </c>
      <c r="B50" s="34" t="str">
        <f t="shared" si="1"/>
      </c>
      <c r="C50" s="35" t="s">
        <v>182</v>
      </c>
      <c r="D50" s="36">
        <v>11130</v>
      </c>
      <c r="E50" s="37" t="s">
        <v>41</v>
      </c>
      <c r="F50" s="38"/>
      <c r="G50" s="39" t="str">
        <f t="shared" si="2"/>
      </c>
      <c r="H50" s="40" t="s">
        <v>183</v>
      </c>
      <c r="I50" s="41"/>
      <c r="J50" s="41"/>
      <c r="K50" s="41" t="s">
        <v>43</v>
      </c>
      <c r="L50" s="42" t="s">
        <v>44</v>
      </c>
      <c r="M50" s="43" t="s">
        <v>45</v>
      </c>
      <c r="N50" s="44" t="s">
        <v>47</v>
      </c>
      <c r="O50" s="45" t="s">
        <v>46</v>
      </c>
      <c r="P50" s="46" t="str">
        <f>IFERROR(__xludf.DUMMYFUNCTION("IF(OR(AND(C50&lt;&gt;"""", LEN(C50)&lt;3), LEN(C50)&gt;60, AND(D50&lt;&gt;"""", NOT(ISNUMBER(D50))), AND(ISNUMBER(D50), OR(D50&lt;0.01, D50&gt;999999999)), AND(COUNTA(D50:F50, H50:N50)&gt;0, C50=""""),                  
  AND(COUNTA(C50, H50:N50)&gt;0, D50=""""), LEN(H50)&gt;50, AND(I50&lt;"&amp;"&gt;"""", NOT(ISNUMBER(I50))), AND(ISNUMBER(I50), OR(I50&lt;0, I50&gt;99998)), AND(L50&lt;&gt;"""", NOT(REGEXMATCH(L50&amp;"""", ""^\d{8,14}$"")))), ""Erro"", """")"),"")</f>
      </c>
    </row>
    <row r="51" ht="22.5" customHeight="true">
      <c r="A51" s="33" t="s">
        <v>184</v>
      </c>
      <c r="B51" s="34" t="str">
        <f t="shared" si="1"/>
      </c>
      <c r="C51" s="35" t="s">
        <v>185</v>
      </c>
      <c r="D51" s="36">
        <v>594</v>
      </c>
      <c r="E51" s="37" t="s">
        <v>41</v>
      </c>
      <c r="F51" s="38"/>
      <c r="G51" s="39" t="str">
        <f t="shared" si="2"/>
      </c>
      <c r="H51" s="40" t="s">
        <v>186</v>
      </c>
      <c r="I51" s="41"/>
      <c r="J51" s="41"/>
      <c r="K51" s="41" t="s">
        <v>43</v>
      </c>
      <c r="L51" s="42" t="s">
        <v>44</v>
      </c>
      <c r="M51" s="43" t="s">
        <v>45</v>
      </c>
      <c r="N51" s="44" t="s">
        <v>47</v>
      </c>
      <c r="O51" s="45" t="s">
        <v>46</v>
      </c>
      <c r="P51" s="46" t="str">
        <f>IFERROR(__xludf.DUMMYFUNCTION("IF(OR(AND(C51&lt;&gt;"""", LEN(C51)&lt;3), LEN(C51)&gt;60, AND(D51&lt;&gt;"""", NOT(ISNUMBER(D51))), AND(ISNUMBER(D51), OR(D51&lt;0.01, D51&gt;999999999)), AND(COUNTA(D51:F51, H51:N51)&gt;0, C51=""""),                  
  AND(COUNTA(C51, H51:N51)&gt;0, D51=""""), LEN(H51)&gt;50, AND(I51&lt;"&amp;"&gt;"""", NOT(ISNUMBER(I51))), AND(ISNUMBER(I51), OR(I51&lt;0, I51&gt;99998)), AND(L51&lt;&gt;"""", NOT(REGEXMATCH(L51&amp;"""", ""^\d{8,14}$"")))), ""Erro"", """")"),"")</f>
      </c>
    </row>
    <row r="52" ht="22.5" customHeight="true">
      <c r="A52" s="33" t="s">
        <v>187</v>
      </c>
      <c r="B52" s="34" t="str">
        <f t="shared" si="1"/>
      </c>
      <c r="C52" s="35" t="s">
        <v>188</v>
      </c>
      <c r="D52" s="36">
        <v>392</v>
      </c>
      <c r="E52" s="37" t="s">
        <v>41</v>
      </c>
      <c r="F52" s="38"/>
      <c r="G52" s="39" t="str">
        <f t="shared" si="2"/>
      </c>
      <c r="H52" s="40" t="s">
        <v>189</v>
      </c>
      <c r="I52" s="41"/>
      <c r="J52" s="41"/>
      <c r="K52" s="41" t="s">
        <v>43</v>
      </c>
      <c r="L52" s="42" t="s">
        <v>44</v>
      </c>
      <c r="M52" s="43" t="s">
        <v>45</v>
      </c>
      <c r="N52" s="44" t="s">
        <v>47</v>
      </c>
      <c r="O52" s="45" t="s">
        <v>46</v>
      </c>
      <c r="P52" s="46" t="str">
        <f>IFERROR(__xludf.DUMMYFUNCTION("IF(OR(AND(C52&lt;&gt;"""", LEN(C52)&lt;3), LEN(C52)&gt;60, AND(D52&lt;&gt;"""", NOT(ISNUMBER(D52))), AND(ISNUMBER(D52), OR(D52&lt;0.01, D52&gt;999999999)), AND(COUNTA(D52:F52, H52:N52)&gt;0, C52=""""),                  
  AND(COUNTA(C52, H52:N52)&gt;0, D52=""""), LEN(H52)&gt;50, AND(I52&lt;"&amp;"&gt;"""", NOT(ISNUMBER(I52))), AND(ISNUMBER(I52), OR(I52&lt;0, I52&gt;99998)), AND(L52&lt;&gt;"""", NOT(REGEXMATCH(L52&amp;"""", ""^\d{8,14}$"")))), ""Erro"", """")"),"")</f>
      </c>
    </row>
    <row r="53" ht="22.5" customHeight="true">
      <c r="A53" s="33" t="s">
        <v>190</v>
      </c>
      <c r="B53" s="34" t="str">
        <f t="shared" si="1"/>
      </c>
      <c r="C53" s="35" t="s">
        <v>191</v>
      </c>
      <c r="D53" s="36">
        <v>6850</v>
      </c>
      <c r="E53" s="37" t="s">
        <v>41</v>
      </c>
      <c r="F53" s="38"/>
      <c r="G53" s="39" t="str">
        <f t="shared" si="2"/>
      </c>
      <c r="H53" s="40" t="s">
        <v>192</v>
      </c>
      <c r="I53" s="41"/>
      <c r="J53" s="41"/>
      <c r="K53" s="41" t="s">
        <v>70</v>
      </c>
      <c r="L53" s="42" t="s">
        <v>44</v>
      </c>
      <c r="M53" s="43" t="s">
        <v>45</v>
      </c>
      <c r="N53" s="44" t="s">
        <v>47</v>
      </c>
      <c r="O53" s="45" t="s">
        <v>46</v>
      </c>
      <c r="P53" s="46" t="str">
        <f>IFERROR(__xludf.DUMMYFUNCTION("IF(OR(AND(C53&lt;&gt;"""", LEN(C53)&lt;3), LEN(C53)&gt;60, AND(D53&lt;&gt;"""", NOT(ISNUMBER(D53))), AND(ISNUMBER(D53), OR(D53&lt;0.01, D53&gt;999999999)), AND(COUNTA(D53:F53, H53:N53)&gt;0, C53=""""),                  
  AND(COUNTA(C53, H53:N53)&gt;0, D53=""""), LEN(H53)&gt;50, AND(I53&lt;"&amp;"&gt;"""", NOT(ISNUMBER(I53))), AND(ISNUMBER(I53), OR(I53&lt;0, I53&gt;99998)), AND(L53&lt;&gt;"""", NOT(REGEXMATCH(L53&amp;"""", ""^\d{8,14}$"")))), ""Erro"", """")"),"")</f>
      </c>
    </row>
    <row r="54" ht="22.5" customHeight="true">
      <c r="A54" s="33" t="s">
        <v>193</v>
      </c>
      <c r="B54" s="34" t="str">
        <f t="shared" si="1"/>
      </c>
      <c r="C54" s="35" t="s">
        <v>194</v>
      </c>
      <c r="D54" s="36">
        <v>1363</v>
      </c>
      <c r="E54" s="37" t="s">
        <v>41</v>
      </c>
      <c r="F54" s="38"/>
      <c r="G54" s="39" t="str">
        <f t="shared" si="2"/>
      </c>
      <c r="H54" s="40" t="s">
        <v>195</v>
      </c>
      <c r="I54" s="41"/>
      <c r="J54" s="41"/>
      <c r="K54" s="41" t="s">
        <v>43</v>
      </c>
      <c r="L54" s="42" t="s">
        <v>44</v>
      </c>
      <c r="M54" s="43" t="s">
        <v>45</v>
      </c>
      <c r="N54" s="44" t="s">
        <v>47</v>
      </c>
      <c r="O54" s="45" t="s">
        <v>46</v>
      </c>
      <c r="P54" s="46" t="str">
        <f>IFERROR(__xludf.DUMMYFUNCTION("IF(OR(AND(C54&lt;&gt;"""", LEN(C54)&lt;3), LEN(C54)&gt;60, AND(D54&lt;&gt;"""", NOT(ISNUMBER(D54))), AND(ISNUMBER(D54), OR(D54&lt;0.01, D54&gt;999999999)), AND(COUNTA(D54:F54, H54:N54)&gt;0, C54=""""),                  
  AND(COUNTA(C54, H54:N54)&gt;0, D54=""""), LEN(H54)&gt;50, AND(I54&lt;"&amp;"&gt;"""", NOT(ISNUMBER(I54))), AND(ISNUMBER(I54), OR(I54&lt;0, I54&gt;99998)), AND(L54&lt;&gt;"""", NOT(REGEXMATCH(L54&amp;"""", ""^\d{8,14}$"")))), ""Erro"", """")"),"")</f>
      </c>
    </row>
    <row r="55" ht="22.5" customHeight="true">
      <c r="A55" s="33" t="s">
        <v>196</v>
      </c>
      <c r="B55" s="34" t="str">
        <f t="shared" si="1"/>
      </c>
      <c r="C55" s="35" t="s">
        <v>197</v>
      </c>
      <c r="D55" s="36">
        <v>387</v>
      </c>
      <c r="E55" s="37" t="s">
        <v>41</v>
      </c>
      <c r="F55" s="38"/>
      <c r="G55" s="39" t="str">
        <f t="shared" si="2"/>
      </c>
      <c r="H55" s="40" t="s">
        <v>198</v>
      </c>
      <c r="I55" s="41"/>
      <c r="J55" s="41"/>
      <c r="K55" s="41" t="s">
        <v>43</v>
      </c>
      <c r="L55" s="42" t="s">
        <v>44</v>
      </c>
      <c r="M55" s="43" t="s">
        <v>45</v>
      </c>
      <c r="N55" s="44" t="s">
        <v>47</v>
      </c>
      <c r="O55" s="45" t="s">
        <v>46</v>
      </c>
      <c r="P55" s="46" t="str">
        <f>IFERROR(__xludf.DUMMYFUNCTION("IF(OR(AND(C55&lt;&gt;"""", LEN(C55)&lt;3), LEN(C55)&gt;60, AND(D55&lt;&gt;"""", NOT(ISNUMBER(D55))), AND(ISNUMBER(D55), OR(D55&lt;0.01, D55&gt;999999999)), AND(COUNTA(D55:F55, H55:N55)&gt;0, C55=""""),                  
  AND(COUNTA(C55, H55:N55)&gt;0, D55=""""), LEN(H55)&gt;50, AND(I55&lt;"&amp;"&gt;"""", NOT(ISNUMBER(I55))), AND(ISNUMBER(I55), OR(I55&lt;0, I55&gt;99998)), AND(L55&lt;&gt;"""", NOT(REGEXMATCH(L55&amp;"""", ""^\d{8,14}$"")))), ""Erro"", """")"),"")</f>
      </c>
    </row>
    <row r="56" ht="22.5" customHeight="true">
      <c r="A56" s="33" t="s">
        <v>199</v>
      </c>
      <c r="B56" s="34" t="str">
        <f t="shared" si="1"/>
      </c>
      <c r="C56" s="35" t="s">
        <v>200</v>
      </c>
      <c r="D56" s="36">
        <v>657</v>
      </c>
      <c r="E56" s="37" t="s">
        <v>41</v>
      </c>
      <c r="F56" s="38"/>
      <c r="G56" s="39" t="str">
        <f t="shared" si="2"/>
      </c>
      <c r="H56" s="40" t="s">
        <v>201</v>
      </c>
      <c r="I56" s="41"/>
      <c r="J56" s="41"/>
      <c r="K56" s="41" t="s">
        <v>43</v>
      </c>
      <c r="L56" s="42" t="s">
        <v>44</v>
      </c>
      <c r="M56" s="43" t="s">
        <v>45</v>
      </c>
      <c r="N56" s="44" t="s">
        <v>47</v>
      </c>
      <c r="O56" s="45" t="s">
        <v>46</v>
      </c>
      <c r="P56" s="46" t="str">
        <f>IFERROR(__xludf.DUMMYFUNCTION("IF(OR(AND(C56&lt;&gt;"""", LEN(C56)&lt;3), LEN(C56)&gt;60, AND(D56&lt;&gt;"""", NOT(ISNUMBER(D56))), AND(ISNUMBER(D56), OR(D56&lt;0.01, D56&gt;999999999)), AND(COUNTA(D56:F56, H56:N56)&gt;0, C56=""""),                  
  AND(COUNTA(C56, H56:N56)&gt;0, D56=""""), LEN(H56)&gt;50, AND(I56&lt;"&amp;"&gt;"""", NOT(ISNUMBER(I56))), AND(ISNUMBER(I56), OR(I56&lt;0, I56&gt;99998)), AND(L56&lt;&gt;"""", NOT(REGEXMATCH(L56&amp;"""", ""^\d{8,14}$"")))), ""Erro"", """")"),"")</f>
      </c>
    </row>
    <row r="57" ht="22.5" customHeight="true">
      <c r="A57" s="33" t="s">
        <v>202</v>
      </c>
      <c r="B57" s="34" t="str">
        <f t="shared" si="1"/>
      </c>
      <c r="C57" s="35" t="s">
        <v>203</v>
      </c>
      <c r="D57" s="36">
        <v>34780</v>
      </c>
      <c r="E57" s="37" t="s">
        <v>41</v>
      </c>
      <c r="F57" s="38"/>
      <c r="G57" s="39" t="str">
        <f t="shared" si="2"/>
      </c>
      <c r="H57" s="40" t="s">
        <v>204</v>
      </c>
      <c r="I57" s="41"/>
      <c r="J57" s="41"/>
      <c r="K57" s="41" t="s">
        <v>70</v>
      </c>
      <c r="L57" s="42" t="s">
        <v>44</v>
      </c>
      <c r="M57" s="43" t="s">
        <v>45</v>
      </c>
      <c r="N57" s="44" t="s">
        <v>47</v>
      </c>
      <c r="O57" s="45" t="s">
        <v>46</v>
      </c>
      <c r="P57" s="46" t="str">
        <f>IFERROR(__xludf.DUMMYFUNCTION("IF(OR(AND(C57&lt;&gt;"""", LEN(C57)&lt;3), LEN(C57)&gt;60, AND(D57&lt;&gt;"""", NOT(ISNUMBER(D57))), AND(ISNUMBER(D57), OR(D57&lt;0.01, D57&gt;999999999)), AND(COUNTA(D57:F57, H57:N57)&gt;0, C57=""""),                  
  AND(COUNTA(C57, H57:N57)&gt;0, D57=""""), LEN(H57)&gt;50, AND(I57&lt;"&amp;"&gt;"""", NOT(ISNUMBER(I57))), AND(ISNUMBER(I57), OR(I57&lt;0, I57&gt;99998)), AND(L57&lt;&gt;"""", NOT(REGEXMATCH(L57&amp;"""", ""^\d{8,14}$"")))), ""Erro"", """")"),"")</f>
      </c>
    </row>
    <row r="58" ht="22.5" customHeight="true">
      <c r="A58" s="33" t="s">
        <v>205</v>
      </c>
      <c r="B58" s="34" t="str">
        <f t="shared" si="1"/>
      </c>
      <c r="C58" s="35" t="s">
        <v>206</v>
      </c>
      <c r="D58" s="36">
        <v>525</v>
      </c>
      <c r="E58" s="37" t="s">
        <v>41</v>
      </c>
      <c r="F58" s="38"/>
      <c r="G58" s="39" t="str">
        <f t="shared" si="2"/>
      </c>
      <c r="H58" s="40" t="s">
        <v>207</v>
      </c>
      <c r="I58" s="41"/>
      <c r="J58" s="41"/>
      <c r="K58" s="41" t="s">
        <v>43</v>
      </c>
      <c r="L58" s="42" t="s">
        <v>44</v>
      </c>
      <c r="M58" s="43" t="s">
        <v>45</v>
      </c>
      <c r="N58" s="44" t="s">
        <v>47</v>
      </c>
      <c r="O58" s="45" t="s">
        <v>46</v>
      </c>
      <c r="P58" s="46" t="str">
        <f>IFERROR(__xludf.DUMMYFUNCTION("IF(OR(AND(C58&lt;&gt;"""", LEN(C58)&lt;3), LEN(C58)&gt;60, AND(D58&lt;&gt;"""", NOT(ISNUMBER(D58))), AND(ISNUMBER(D58), OR(D58&lt;0.01, D58&gt;999999999)), AND(COUNTA(D58:F58, H58:N58)&gt;0, C58=""""),                  
  AND(COUNTA(C58, H58:N58)&gt;0, D58=""""), LEN(H58)&gt;50, AND(I58&lt;"&amp;"&gt;"""", NOT(ISNUMBER(I58))), AND(ISNUMBER(I58), OR(I58&lt;0, I58&gt;99998)), AND(L58&lt;&gt;"""", NOT(REGEXMATCH(L58&amp;"""", ""^\d{8,14}$"")))), ""Erro"", """")"),"")</f>
      </c>
    </row>
    <row r="59" ht="22.5" customHeight="true">
      <c r="A59" s="33" t="s">
        <v>208</v>
      </c>
      <c r="B59" s="34" t="str">
        <f t="shared" si="1"/>
      </c>
      <c r="C59" s="35" t="s">
        <v>209</v>
      </c>
      <c r="D59" s="36">
        <v>779</v>
      </c>
      <c r="E59" s="37" t="s">
        <v>41</v>
      </c>
      <c r="F59" s="38"/>
      <c r="G59" s="39" t="str">
        <f t="shared" si="2"/>
      </c>
      <c r="H59" s="40" t="s">
        <v>210</v>
      </c>
      <c r="I59" s="41"/>
      <c r="J59" s="41"/>
      <c r="K59" s="41" t="s">
        <v>43</v>
      </c>
      <c r="L59" s="42" t="s">
        <v>44</v>
      </c>
      <c r="M59" s="43" t="s">
        <v>45</v>
      </c>
      <c r="N59" s="44" t="s">
        <v>47</v>
      </c>
      <c r="O59" s="45" t="s">
        <v>46</v>
      </c>
      <c r="P59" s="46" t="str">
        <f>IFERROR(__xludf.DUMMYFUNCTION("IF(OR(AND(C59&lt;&gt;"""", LEN(C59)&lt;3), LEN(C59)&gt;60, AND(D59&lt;&gt;"""", NOT(ISNUMBER(D59))), AND(ISNUMBER(D59), OR(D59&lt;0.01, D59&gt;999999999)), AND(COUNTA(D59:F59, H59:N59)&gt;0, C59=""""),                  
  AND(COUNTA(C59, H59:N59)&gt;0, D59=""""), LEN(H59)&gt;50, AND(I59&lt;"&amp;"&gt;"""", NOT(ISNUMBER(I59))), AND(ISNUMBER(I59), OR(I59&lt;0, I59&gt;99998)), AND(L59&lt;&gt;"""", NOT(REGEXMATCH(L59&amp;"""", ""^\d{8,14}$"")))), ""Erro"", """")"),"")</f>
      </c>
    </row>
    <row r="60" ht="22.5" customHeight="true">
      <c r="A60" s="33" t="s">
        <v>211</v>
      </c>
      <c r="B60" s="34" t="str">
        <f t="shared" si="1"/>
      </c>
      <c r="C60" s="35" t="s">
        <v>212</v>
      </c>
      <c r="D60" s="36">
        <v>1166</v>
      </c>
      <c r="E60" s="37" t="s">
        <v>41</v>
      </c>
      <c r="F60" s="38"/>
      <c r="G60" s="39" t="str">
        <f t="shared" si="2"/>
      </c>
      <c r="H60" s="40" t="s">
        <v>213</v>
      </c>
      <c r="I60" s="41"/>
      <c r="J60" s="41"/>
      <c r="K60" s="41" t="s">
        <v>43</v>
      </c>
      <c r="L60" s="42" t="s">
        <v>44</v>
      </c>
      <c r="M60" s="43" t="s">
        <v>45</v>
      </c>
      <c r="N60" s="44" t="s">
        <v>47</v>
      </c>
      <c r="O60" s="45" t="s">
        <v>46</v>
      </c>
      <c r="P60" s="46" t="str">
        <f>IFERROR(__xludf.DUMMYFUNCTION("IF(OR(AND(C60&lt;&gt;"""", LEN(C60)&lt;3), LEN(C60)&gt;60, AND(D60&lt;&gt;"""", NOT(ISNUMBER(D60))), AND(ISNUMBER(D60), OR(D60&lt;0.01, D60&gt;999999999)), AND(COUNTA(D60:F60, H60:N60)&gt;0, C60=""""),                  
  AND(COUNTA(C60, H60:N60)&gt;0, D60=""""), LEN(H60)&gt;50, AND(I60&lt;"&amp;"&gt;"""", NOT(ISNUMBER(I60))), AND(ISNUMBER(I60), OR(I60&lt;0, I60&gt;99998)), AND(L60&lt;&gt;"""", NOT(REGEXMATCH(L60&amp;"""", ""^\d{8,14}$"")))), ""Erro"", """")"),"")</f>
      </c>
    </row>
    <row r="61" ht="22.5" customHeight="true">
      <c r="A61" s="33" t="s">
        <v>214</v>
      </c>
      <c r="B61" s="34" t="str">
        <f t="shared" si="1"/>
      </c>
      <c r="C61" s="35" t="s">
        <v>215</v>
      </c>
      <c r="D61" s="36">
        <v>1400</v>
      </c>
      <c r="E61" s="37" t="s">
        <v>41</v>
      </c>
      <c r="F61" s="38"/>
      <c r="G61" s="39" t="str">
        <f t="shared" si="2"/>
      </c>
      <c r="H61" s="40" t="s">
        <v>216</v>
      </c>
      <c r="I61" s="41"/>
      <c r="J61" s="41"/>
      <c r="K61" s="41" t="s">
        <v>80</v>
      </c>
      <c r="L61" s="42" t="s">
        <v>44</v>
      </c>
      <c r="M61" s="43" t="s">
        <v>45</v>
      </c>
      <c r="N61" s="44" t="s">
        <v>47</v>
      </c>
      <c r="O61" s="45" t="s">
        <v>46</v>
      </c>
      <c r="P61" s="46" t="str">
        <f>IFERROR(__xludf.DUMMYFUNCTION("IF(OR(AND(C61&lt;&gt;"""", LEN(C61)&lt;3), LEN(C61)&gt;60, AND(D61&lt;&gt;"""", NOT(ISNUMBER(D61))), AND(ISNUMBER(D61), OR(D61&lt;0.01, D61&gt;999999999)), AND(COUNTA(D61:F61, H61:N61)&gt;0, C61=""""),                  
  AND(COUNTA(C61, H61:N61)&gt;0, D61=""""), LEN(H61)&gt;50, AND(I61&lt;"&amp;"&gt;"""", NOT(ISNUMBER(I61))), AND(ISNUMBER(I61), OR(I61&lt;0, I61&gt;99998)), AND(L61&lt;&gt;"""", NOT(REGEXMATCH(L61&amp;"""", ""^\d{8,14}$"")))), ""Erro"", """")"),"")</f>
      </c>
    </row>
    <row r="62" ht="22.5" customHeight="true">
      <c r="A62" s="33" t="s">
        <v>217</v>
      </c>
      <c r="B62" s="34" t="str">
        <f t="shared" si="1"/>
      </c>
      <c r="C62" s="35" t="s">
        <v>218</v>
      </c>
      <c r="D62" s="36">
        <v>3500</v>
      </c>
      <c r="E62" s="37" t="s">
        <v>41</v>
      </c>
      <c r="F62" s="38"/>
      <c r="G62" s="39" t="str">
        <f t="shared" si="2"/>
      </c>
      <c r="H62" s="40" t="s">
        <v>219</v>
      </c>
      <c r="I62" s="41"/>
      <c r="J62" s="41"/>
      <c r="K62" s="41" t="s">
        <v>43</v>
      </c>
      <c r="L62" s="42" t="s">
        <v>44</v>
      </c>
      <c r="M62" s="43" t="s">
        <v>45</v>
      </c>
      <c r="N62" s="44" t="s">
        <v>47</v>
      </c>
      <c r="O62" s="45" t="s">
        <v>46</v>
      </c>
      <c r="P62" s="46" t="str">
        <f>IFERROR(__xludf.DUMMYFUNCTION("IF(OR(AND(C62&lt;&gt;"""", LEN(C62)&lt;3), LEN(C62)&gt;60, AND(D62&lt;&gt;"""", NOT(ISNUMBER(D62))), AND(ISNUMBER(D62), OR(D62&lt;0.01, D62&gt;999999999)), AND(COUNTA(D62:F62, H62:N62)&gt;0, C62=""""),                  
  AND(COUNTA(C62, H62:N62)&gt;0, D62=""""), LEN(H62)&gt;50, AND(I62&lt;"&amp;"&gt;"""", NOT(ISNUMBER(I62))), AND(ISNUMBER(I62), OR(I62&lt;0, I62&gt;99998)), AND(L62&lt;&gt;"""", NOT(REGEXMATCH(L62&amp;"""", ""^\d{8,14}$"")))), ""Erro"", """")"),"")</f>
      </c>
    </row>
    <row r="63" ht="22.5" customHeight="true">
      <c r="A63" s="33" t="s">
        <v>220</v>
      </c>
      <c r="B63" s="34" t="str">
        <f t="shared" si="1"/>
      </c>
      <c r="C63" s="35" t="s">
        <v>221</v>
      </c>
      <c r="D63" s="36">
        <v>398</v>
      </c>
      <c r="E63" s="37" t="s">
        <v>41</v>
      </c>
      <c r="F63" s="38"/>
      <c r="G63" s="39" t="str">
        <f t="shared" si="2"/>
      </c>
      <c r="H63" s="40" t="s">
        <v>222</v>
      </c>
      <c r="I63" s="41"/>
      <c r="J63" s="41"/>
      <c r="K63" s="41" t="s">
        <v>43</v>
      </c>
      <c r="L63" s="42" t="s">
        <v>44</v>
      </c>
      <c r="M63" s="43" t="s">
        <v>45</v>
      </c>
      <c r="N63" s="44" t="s">
        <v>47</v>
      </c>
      <c r="O63" s="45" t="s">
        <v>46</v>
      </c>
      <c r="P63" s="46" t="str">
        <f>IFERROR(__xludf.DUMMYFUNCTION("IF(OR(AND(C63&lt;&gt;"""", LEN(C63)&lt;3), LEN(C63)&gt;60, AND(D63&lt;&gt;"""", NOT(ISNUMBER(D63))), AND(ISNUMBER(D63), OR(D63&lt;0.01, D63&gt;999999999)), AND(COUNTA(D63:F63, H63:N63)&gt;0, C63=""""),                  
  AND(COUNTA(C63, H63:N63)&gt;0, D63=""""), LEN(H63)&gt;50, AND(I63&lt;"&amp;"&gt;"""", NOT(ISNUMBER(I63))), AND(ISNUMBER(I63), OR(I63&lt;0, I63&gt;99998)), AND(L63&lt;&gt;"""", NOT(REGEXMATCH(L63&amp;"""", ""^\d{8,14}$"")))), ""Erro"", """")"),"")</f>
      </c>
    </row>
    <row r="64" ht="22.5" customHeight="true">
      <c r="A64" s="33" t="s">
        <v>223</v>
      </c>
      <c r="B64" s="34" t="str">
        <f t="shared" si="1"/>
      </c>
      <c r="C64" s="35" t="s">
        <v>224</v>
      </c>
      <c r="D64" s="36">
        <v>567</v>
      </c>
      <c r="E64" s="37" t="s">
        <v>41</v>
      </c>
      <c r="F64" s="38"/>
      <c r="G64" s="39" t="str">
        <f t="shared" si="2"/>
      </c>
      <c r="H64" s="40" t="s">
        <v>224</v>
      </c>
      <c r="I64" s="41"/>
      <c r="J64" s="41"/>
      <c r="K64" s="41" t="s">
        <v>43</v>
      </c>
      <c r="L64" s="42" t="s">
        <v>44</v>
      </c>
      <c r="M64" s="43" t="s">
        <v>45</v>
      </c>
      <c r="N64" s="44" t="s">
        <v>47</v>
      </c>
      <c r="O64" s="45" t="s">
        <v>46</v>
      </c>
      <c r="P64" s="46" t="str">
        <f>IFERROR(__xludf.DUMMYFUNCTION("IF(OR(AND(C64&lt;&gt;"""", LEN(C64)&lt;3), LEN(C64)&gt;60, AND(D64&lt;&gt;"""", NOT(ISNUMBER(D64))), AND(ISNUMBER(D64), OR(D64&lt;0.01, D64&gt;999999999)), AND(COUNTA(D64:F64, H64:N64)&gt;0, C64=""""),                  
  AND(COUNTA(C64, H64:N64)&gt;0, D64=""""), LEN(H64)&gt;50, AND(I64&lt;"&amp;"&gt;"""", NOT(ISNUMBER(I64))), AND(ISNUMBER(I64), OR(I64&lt;0, I64&gt;99998)), AND(L64&lt;&gt;"""", NOT(REGEXMATCH(L64&amp;"""", ""^\d{8,14}$"")))), ""Erro"", """")"),"")</f>
      </c>
    </row>
    <row r="65" ht="22.5" customHeight="true">
      <c r="A65" s="33" t="s">
        <v>225</v>
      </c>
      <c r="B65" s="34" t="str">
        <f t="shared" si="1"/>
      </c>
      <c r="C65" s="35" t="s">
        <v>226</v>
      </c>
      <c r="D65" s="36">
        <v>398</v>
      </c>
      <c r="E65" s="37" t="s">
        <v>41</v>
      </c>
      <c r="F65" s="38"/>
      <c r="G65" s="39" t="str">
        <f t="shared" si="2"/>
      </c>
      <c r="H65" s="40" t="s">
        <v>227</v>
      </c>
      <c r="I65" s="41"/>
      <c r="J65" s="41"/>
      <c r="K65" s="41" t="s">
        <v>43</v>
      </c>
      <c r="L65" s="42" t="s">
        <v>44</v>
      </c>
      <c r="M65" s="43" t="s">
        <v>45</v>
      </c>
      <c r="N65" s="44" t="s">
        <v>47</v>
      </c>
      <c r="O65" s="45" t="s">
        <v>46</v>
      </c>
      <c r="P65" s="46" t="str">
        <f>IFERROR(__xludf.DUMMYFUNCTION("IF(OR(AND(C65&lt;&gt;"""", LEN(C65)&lt;3), LEN(C65)&gt;60, AND(D65&lt;&gt;"""", NOT(ISNUMBER(D65))), AND(ISNUMBER(D65), OR(D65&lt;0.01, D65&gt;999999999)), AND(COUNTA(D65:F65, H65:N65)&gt;0, C65=""""),                  
  AND(COUNTA(C65, H65:N65)&gt;0, D65=""""), LEN(H65)&gt;50, AND(I65&lt;"&amp;"&gt;"""", NOT(ISNUMBER(I65))), AND(ISNUMBER(I65), OR(I65&lt;0, I65&gt;99998)), AND(L65&lt;&gt;"""", NOT(REGEXMATCH(L65&amp;"""", ""^\d{8,14}$"")))), ""Erro"", """")"),"")</f>
      </c>
    </row>
    <row r="66" ht="22.5" customHeight="true">
      <c r="A66" s="33" t="s">
        <v>228</v>
      </c>
      <c r="B66" s="34" t="str">
        <f t="shared" si="1"/>
      </c>
      <c r="C66" s="35" t="s">
        <v>229</v>
      </c>
      <c r="D66" s="36">
        <v>25200</v>
      </c>
      <c r="E66" s="37" t="s">
        <v>41</v>
      </c>
      <c r="F66" s="38"/>
      <c r="G66" s="39" t="str">
        <f t="shared" si="2"/>
      </c>
      <c r="H66" s="40" t="s">
        <v>230</v>
      </c>
      <c r="I66" s="41"/>
      <c r="J66" s="41"/>
      <c r="K66" s="41" t="s">
        <v>65</v>
      </c>
      <c r="L66" s="42" t="s">
        <v>44</v>
      </c>
      <c r="M66" s="43" t="s">
        <v>45</v>
      </c>
      <c r="N66" s="44" t="s">
        <v>47</v>
      </c>
      <c r="O66" s="45" t="s">
        <v>66</v>
      </c>
      <c r="P66" s="46" t="str">
        <f>IFERROR(__xludf.DUMMYFUNCTION("IF(OR(AND(C66&lt;&gt;"""", LEN(C66)&lt;3), LEN(C66)&gt;60, AND(D66&lt;&gt;"""", NOT(ISNUMBER(D66))), AND(ISNUMBER(D66), OR(D66&lt;0.01, D66&gt;999999999)), AND(COUNTA(D66:F66, H66:N66)&gt;0, C66=""""),                  
  AND(COUNTA(C66, H66:N66)&gt;0, D66=""""), LEN(H66)&gt;50, AND(I66&lt;"&amp;"&gt;"""", NOT(ISNUMBER(I66))), AND(ISNUMBER(I66), OR(I66&lt;0, I66&gt;99998)), AND(L66&lt;&gt;"""", NOT(REGEXMATCH(L66&amp;"""", ""^\d{8,14}$"")))), ""Erro"", """")"),"")</f>
      </c>
    </row>
    <row r="67" ht="22.5" customHeight="true">
      <c r="A67" s="33" t="s">
        <v>231</v>
      </c>
      <c r="B67" s="34" t="str">
        <f t="shared" si="1"/>
      </c>
      <c r="C67" s="35" t="s">
        <v>232</v>
      </c>
      <c r="D67" s="36">
        <v>860</v>
      </c>
      <c r="E67" s="37" t="s">
        <v>41</v>
      </c>
      <c r="F67" s="38"/>
      <c r="G67" s="39" t="str">
        <f t="shared" si="2"/>
      </c>
      <c r="H67" s="40" t="s">
        <v>233</v>
      </c>
      <c r="I67" s="41"/>
      <c r="J67" s="41"/>
      <c r="K67" s="41" t="s">
        <v>80</v>
      </c>
      <c r="L67" s="42" t="s">
        <v>44</v>
      </c>
      <c r="M67" s="43" t="s">
        <v>45</v>
      </c>
      <c r="N67" s="44" t="s">
        <v>47</v>
      </c>
      <c r="O67" s="45" t="s">
        <v>46</v>
      </c>
      <c r="P67" s="46" t="str">
        <f>IFERROR(__xludf.DUMMYFUNCTION("IF(OR(AND(C67&lt;&gt;"""", LEN(C67)&lt;3), LEN(C67)&gt;60, AND(D67&lt;&gt;"""", NOT(ISNUMBER(D67))), AND(ISNUMBER(D67), OR(D67&lt;0.01, D67&gt;999999999)), AND(COUNTA(D67:F67, H67:N67)&gt;0, C67=""""),                  
  AND(COUNTA(C67, H67:N67)&gt;0, D67=""""), LEN(H67)&gt;50, AND(I67&lt;"&amp;"&gt;"""", NOT(ISNUMBER(I67))), AND(ISNUMBER(I67), OR(I67&lt;0, I67&gt;99998)), AND(L67&lt;&gt;"""", NOT(REGEXMATCH(L67&amp;"""", ""^\d{8,14}$"")))), ""Erro"", """")"),"")</f>
      </c>
    </row>
    <row r="68" ht="22.5" customHeight="true">
      <c r="A68" s="33" t="s">
        <v>234</v>
      </c>
      <c r="B68" s="34" t="str">
        <f t="shared" si="1"/>
      </c>
      <c r="C68" s="35" t="s">
        <v>235</v>
      </c>
      <c r="D68" s="36">
        <v>5250</v>
      </c>
      <c r="E68" s="37" t="s">
        <v>41</v>
      </c>
      <c r="F68" s="38"/>
      <c r="G68" s="39" t="str">
        <f t="shared" si="2"/>
      </c>
      <c r="H68" s="40" t="s">
        <v>236</v>
      </c>
      <c r="I68" s="41"/>
      <c r="J68" s="41"/>
      <c r="K68" s="41" t="s">
        <v>70</v>
      </c>
      <c r="L68" s="42" t="s">
        <v>44</v>
      </c>
      <c r="M68" s="43" t="s">
        <v>45</v>
      </c>
      <c r="N68" s="44" t="s">
        <v>47</v>
      </c>
      <c r="O68" s="45" t="s">
        <v>66</v>
      </c>
      <c r="P68" s="46" t="str">
        <f>IFERROR(__xludf.DUMMYFUNCTION("IF(OR(AND(C68&lt;&gt;"""", LEN(C68)&lt;3), LEN(C68)&gt;60, AND(D68&lt;&gt;"""", NOT(ISNUMBER(D68))), AND(ISNUMBER(D68), OR(D68&lt;0.01, D68&gt;999999999)), AND(COUNTA(D68:F68, H68:N68)&gt;0, C68=""""),                  
  AND(COUNTA(C68, H68:N68)&gt;0, D68=""""), LEN(H68)&gt;50, AND(I68&lt;"&amp;"&gt;"""", NOT(ISNUMBER(I68))), AND(ISNUMBER(I68), OR(I68&lt;0, I68&gt;99998)), AND(L68&lt;&gt;"""", NOT(REGEXMATCH(L68&amp;"""", ""^\d{8,14}$"")))), ""Erro"", """")"),"")</f>
      </c>
    </row>
    <row r="69" ht="22.5" customHeight="true">
      <c r="A69" s="33" t="s">
        <v>237</v>
      </c>
      <c r="B69" s="34" t="str">
        <f t="shared" si="1"/>
      </c>
      <c r="C69" s="35" t="s">
        <v>238</v>
      </c>
      <c r="D69" s="36">
        <v>254</v>
      </c>
      <c r="E69" s="37" t="s">
        <v>41</v>
      </c>
      <c r="F69" s="38"/>
      <c r="G69" s="39" t="str">
        <f t="shared" si="2"/>
      </c>
      <c r="H69" s="40" t="s">
        <v>239</v>
      </c>
      <c r="I69" s="41"/>
      <c r="J69" s="41"/>
      <c r="K69" s="41" t="s">
        <v>43</v>
      </c>
      <c r="L69" s="42" t="s">
        <v>44</v>
      </c>
      <c r="M69" s="43" t="s">
        <v>45</v>
      </c>
      <c r="N69" s="44" t="s">
        <v>47</v>
      </c>
      <c r="O69" s="45" t="s">
        <v>46</v>
      </c>
      <c r="P69" s="46" t="str">
        <f>IFERROR(__xludf.DUMMYFUNCTION("IF(OR(AND(C69&lt;&gt;"""", LEN(C69)&lt;3), LEN(C69)&gt;60, AND(D69&lt;&gt;"""", NOT(ISNUMBER(D69))), AND(ISNUMBER(D69), OR(D69&lt;0.01, D69&gt;999999999)), AND(COUNTA(D69:F69, H69:N69)&gt;0, C69=""""),                  
  AND(COUNTA(C69, H69:N69)&gt;0, D69=""""), LEN(H69)&gt;50, AND(I69&lt;"&amp;"&gt;"""", NOT(ISNUMBER(I69))), AND(ISNUMBER(I69), OR(I69&lt;0, I69&gt;99998)), AND(L69&lt;&gt;"""", NOT(REGEXMATCH(L69&amp;"""", ""^\d{8,14}$"")))), ""Erro"", """")"),"")</f>
      </c>
    </row>
    <row r="70" ht="22.5" customHeight="true">
      <c r="A70" s="33" t="s">
        <v>240</v>
      </c>
      <c r="B70" s="34" t="str">
        <f t="shared" si="1"/>
      </c>
      <c r="C70" s="35" t="s">
        <v>241</v>
      </c>
      <c r="D70" s="36">
        <v>228</v>
      </c>
      <c r="E70" s="37" t="s">
        <v>41</v>
      </c>
      <c r="F70" s="38"/>
      <c r="G70" s="39" t="str">
        <f t="shared" si="2"/>
      </c>
      <c r="H70" s="40" t="s">
        <v>242</v>
      </c>
      <c r="I70" s="41"/>
      <c r="J70" s="41"/>
      <c r="K70" s="41" t="s">
        <v>43</v>
      </c>
      <c r="L70" s="42" t="s">
        <v>44</v>
      </c>
      <c r="M70" s="43" t="s">
        <v>45</v>
      </c>
      <c r="N70" s="44" t="s">
        <v>47</v>
      </c>
      <c r="O70" s="45" t="s">
        <v>46</v>
      </c>
      <c r="P70" s="46" t="str">
        <f>IFERROR(__xludf.DUMMYFUNCTION("IF(OR(AND(C70&lt;&gt;"""", LEN(C70)&lt;3), LEN(C70)&gt;60, AND(D70&lt;&gt;"""", NOT(ISNUMBER(D70))), AND(ISNUMBER(D70), OR(D70&lt;0.01, D70&gt;999999999)), AND(COUNTA(D70:F70, H70:N70)&gt;0, C70=""""),                  
  AND(COUNTA(C70, H70:N70)&gt;0, D70=""""), LEN(H70)&gt;50, AND(I70&lt;"&amp;"&gt;"""", NOT(ISNUMBER(I70))), AND(ISNUMBER(I70), OR(I70&lt;0, I70&gt;99998)), AND(L70&lt;&gt;"""", NOT(REGEXMATCH(L70&amp;"""", ""^\d{8,14}$"")))), ""Erro"", """")"),"")</f>
      </c>
    </row>
    <row r="71" ht="22.5" customHeight="true">
      <c r="A71" s="33" t="s">
        <v>243</v>
      </c>
      <c r="B71" s="34" t="str">
        <f t="shared" si="1"/>
      </c>
      <c r="C71" s="35" t="s">
        <v>244</v>
      </c>
      <c r="D71" s="36">
        <v>15750</v>
      </c>
      <c r="E71" s="37" t="s">
        <v>41</v>
      </c>
      <c r="F71" s="38"/>
      <c r="G71" s="39" t="str">
        <f t="shared" si="2"/>
      </c>
      <c r="H71" s="40" t="s">
        <v>245</v>
      </c>
      <c r="I71" s="41"/>
      <c r="J71" s="41"/>
      <c r="K71" s="41" t="s">
        <v>65</v>
      </c>
      <c r="L71" s="42" t="s">
        <v>44</v>
      </c>
      <c r="M71" s="43" t="s">
        <v>45</v>
      </c>
      <c r="N71" s="44" t="s">
        <v>47</v>
      </c>
      <c r="O71" s="45" t="s">
        <v>46</v>
      </c>
      <c r="P71" s="46" t="str">
        <f>IFERROR(__xludf.DUMMYFUNCTION("IF(OR(AND(C71&lt;&gt;"""", LEN(C71)&lt;3), LEN(C71)&gt;60, AND(D71&lt;&gt;"""", NOT(ISNUMBER(D71))), AND(ISNUMBER(D71), OR(D71&lt;0.01, D71&gt;999999999)), AND(COUNTA(D71:F71, H71:N71)&gt;0, C71=""""),                  
  AND(COUNTA(C71, H71:N71)&gt;0, D71=""""), LEN(H71)&gt;50, AND(I71&lt;"&amp;"&gt;"""", NOT(ISNUMBER(I71))), AND(ISNUMBER(I71), OR(I71&lt;0, I71&gt;99998)), AND(L71&lt;&gt;"""", NOT(REGEXMATCH(L71&amp;"""", ""^\d{8,14}$"")))), ""Erro"", """")"),"")</f>
      </c>
    </row>
    <row r="72" ht="22.5" customHeight="true">
      <c r="A72" s="33" t="s">
        <v>246</v>
      </c>
      <c r="B72" s="34" t="str">
        <f t="shared" si="1"/>
      </c>
      <c r="C72" s="35" t="s">
        <v>247</v>
      </c>
      <c r="D72" s="36">
        <v>199</v>
      </c>
      <c r="E72" s="37" t="s">
        <v>41</v>
      </c>
      <c r="F72" s="38"/>
      <c r="G72" s="39" t="str">
        <f t="shared" si="2"/>
      </c>
      <c r="H72" s="40" t="s">
        <v>248</v>
      </c>
      <c r="I72" s="41"/>
      <c r="J72" s="41"/>
      <c r="K72" s="41" t="s">
        <v>43</v>
      </c>
      <c r="L72" s="42" t="s">
        <v>44</v>
      </c>
      <c r="M72" s="43" t="s">
        <v>45</v>
      </c>
      <c r="N72" s="44" t="s">
        <v>47</v>
      </c>
      <c r="O72" s="45" t="s">
        <v>46</v>
      </c>
      <c r="P72" s="46" t="str">
        <f>IFERROR(__xludf.DUMMYFUNCTION("IF(OR(AND(C72&lt;&gt;"""", LEN(C72)&lt;3), LEN(C72)&gt;60, AND(D72&lt;&gt;"""", NOT(ISNUMBER(D72))), AND(ISNUMBER(D72), OR(D72&lt;0.01, D72&gt;999999999)), AND(COUNTA(D72:F72, H72:N72)&gt;0, C72=""""),                  
  AND(COUNTA(C72, H72:N72)&gt;0, D72=""""), LEN(H72)&gt;50, AND(I72&lt;"&amp;"&gt;"""", NOT(ISNUMBER(I72))), AND(ISNUMBER(I72), OR(I72&lt;0, I72&gt;99998)), AND(L72&lt;&gt;"""", NOT(REGEXMATCH(L72&amp;"""", ""^\d{8,14}$"")))), ""Erro"", """")"),"")</f>
      </c>
    </row>
    <row r="73" ht="22.5" customHeight="true">
      <c r="A73" s="33" t="s">
        <v>249</v>
      </c>
      <c r="B73" s="34" t="str">
        <f t="shared" si="1"/>
      </c>
      <c r="C73" s="35" t="s">
        <v>250</v>
      </c>
      <c r="D73" s="36">
        <v>1400</v>
      </c>
      <c r="E73" s="37" t="s">
        <v>41</v>
      </c>
      <c r="F73" s="38"/>
      <c r="G73" s="39" t="str">
        <f t="shared" si="2"/>
      </c>
      <c r="H73" s="40" t="s">
        <v>251</v>
      </c>
      <c r="I73" s="41"/>
      <c r="J73" s="41"/>
      <c r="K73" s="41" t="s">
        <v>54</v>
      </c>
      <c r="L73" s="42" t="s">
        <v>44</v>
      </c>
      <c r="M73" s="43" t="s">
        <v>45</v>
      </c>
      <c r="N73" s="44" t="s">
        <v>47</v>
      </c>
      <c r="O73" s="45" t="s">
        <v>66</v>
      </c>
      <c r="P73" s="46" t="str">
        <f>IFERROR(__xludf.DUMMYFUNCTION("IF(OR(AND(C73&lt;&gt;"""", LEN(C73)&lt;3), LEN(C73)&gt;60, AND(D73&lt;&gt;"""", NOT(ISNUMBER(D73))), AND(ISNUMBER(D73), OR(D73&lt;0.01, D73&gt;999999999)), AND(COUNTA(D73:F73, H73:N73)&gt;0, C73=""""),                  
  AND(COUNTA(C73, H73:N73)&gt;0, D73=""""), LEN(H73)&gt;50, AND(I73&lt;"&amp;"&gt;"""", NOT(ISNUMBER(I73))), AND(ISNUMBER(I73), OR(I73&lt;0, I73&gt;99998)), AND(L73&lt;&gt;"""", NOT(REGEXMATCH(L73&amp;"""", ""^\d{8,14}$"")))), ""Erro"", """")"),"")</f>
      </c>
    </row>
    <row r="74" ht="22.5" customHeight="true">
      <c r="A74" s="33" t="s">
        <v>252</v>
      </c>
      <c r="B74" s="34" t="str">
        <f t="shared" si="1"/>
      </c>
      <c r="C74" s="35" t="s">
        <v>253</v>
      </c>
      <c r="D74" s="36">
        <v>5400</v>
      </c>
      <c r="E74" s="37" t="s">
        <v>41</v>
      </c>
      <c r="F74" s="38"/>
      <c r="G74" s="39" t="str">
        <f t="shared" si="2"/>
      </c>
      <c r="H74" s="40" t="s">
        <v>254</v>
      </c>
      <c r="I74" s="41"/>
      <c r="J74" s="41"/>
      <c r="K74" s="41" t="s">
        <v>70</v>
      </c>
      <c r="L74" s="42" t="s">
        <v>44</v>
      </c>
      <c r="M74" s="43" t="s">
        <v>45</v>
      </c>
      <c r="N74" s="44" t="s">
        <v>47</v>
      </c>
      <c r="O74" s="45" t="s">
        <v>149</v>
      </c>
      <c r="P74" s="46" t="str">
        <f>IFERROR(__xludf.DUMMYFUNCTION("IF(OR(AND(C74&lt;&gt;"""", LEN(C74)&lt;3), LEN(C74)&gt;60, AND(D74&lt;&gt;"""", NOT(ISNUMBER(D74))), AND(ISNUMBER(D74), OR(D74&lt;0.01, D74&gt;999999999)), AND(COUNTA(D74:F74, H74:N74)&gt;0, C74=""""),                  
  AND(COUNTA(C74, H74:N74)&gt;0, D74=""""), LEN(H74)&gt;50, AND(I74&lt;"&amp;"&gt;"""", NOT(ISNUMBER(I74))), AND(ISNUMBER(I74), OR(I74&lt;0, I74&gt;99998)), AND(L74&lt;&gt;"""", NOT(REGEXMATCH(L74&amp;"""", ""^\d{8,14}$"")))), ""Erro"", """")"),"")</f>
      </c>
    </row>
    <row r="75" ht="22.5" customHeight="true">
      <c r="A75" s="33" t="s">
        <v>255</v>
      </c>
      <c r="B75" s="34" t="str">
        <f t="shared" si="1"/>
      </c>
      <c r="C75" s="35" t="s">
        <v>256</v>
      </c>
      <c r="D75" s="36">
        <v>840</v>
      </c>
      <c r="E75" s="37" t="s">
        <v>41</v>
      </c>
      <c r="F75" s="38"/>
      <c r="G75" s="39" t="str">
        <f t="shared" si="2"/>
      </c>
      <c r="H75" s="40" t="s">
        <v>257</v>
      </c>
      <c r="I75" s="41"/>
      <c r="J75" s="41"/>
      <c r="K75" s="41" t="s">
        <v>70</v>
      </c>
      <c r="L75" s="42" t="s">
        <v>44</v>
      </c>
      <c r="M75" s="43" t="s">
        <v>45</v>
      </c>
      <c r="N75" s="44" t="s">
        <v>47</v>
      </c>
      <c r="O75" s="45" t="s">
        <v>46</v>
      </c>
      <c r="P75" s="46" t="str">
        <f>IFERROR(__xludf.DUMMYFUNCTION("IF(OR(AND(C75&lt;&gt;"""", LEN(C75)&lt;3), LEN(C75)&gt;60, AND(D75&lt;&gt;"""", NOT(ISNUMBER(D75))), AND(ISNUMBER(D75), OR(D75&lt;0.01, D75&gt;999999999)), AND(COUNTA(D75:F75, H75:N75)&gt;0, C75=""""),                  
  AND(COUNTA(C75, H75:N75)&gt;0, D75=""""), LEN(H75)&gt;50, AND(I75&lt;"&amp;"&gt;"""", NOT(ISNUMBER(I75))), AND(ISNUMBER(I75), OR(I75&lt;0, I75&gt;99998)), AND(L75&lt;&gt;"""", NOT(REGEXMATCH(L75&amp;"""", ""^\d{8,14}$"")))), ""Erro"", """")"),"")</f>
      </c>
    </row>
    <row r="76" ht="22.5" customHeight="true">
      <c r="A76" s="33" t="s">
        <v>258</v>
      </c>
      <c r="B76" s="34" t="str">
        <f t="shared" si="1"/>
      </c>
      <c r="C76" s="35" t="s">
        <v>259</v>
      </c>
      <c r="D76" s="36">
        <v>5830</v>
      </c>
      <c r="E76" s="37" t="s">
        <v>41</v>
      </c>
      <c r="F76" s="38"/>
      <c r="G76" s="39" t="str">
        <f t="shared" si="2"/>
      </c>
      <c r="H76" s="40" t="s">
        <v>260</v>
      </c>
      <c r="I76" s="41"/>
      <c r="J76" s="41"/>
      <c r="K76" s="41" t="s">
        <v>43</v>
      </c>
      <c r="L76" s="42" t="s">
        <v>44</v>
      </c>
      <c r="M76" s="43" t="s">
        <v>45</v>
      </c>
      <c r="N76" s="44" t="s">
        <v>47</v>
      </c>
      <c r="O76" s="45" t="s">
        <v>46</v>
      </c>
      <c r="P76" s="46" t="str">
        <f>IFERROR(__xludf.DUMMYFUNCTION("IF(OR(AND(C76&lt;&gt;"""", LEN(C76)&lt;3), LEN(C76)&gt;60, AND(D76&lt;&gt;"""", NOT(ISNUMBER(D76))), AND(ISNUMBER(D76), OR(D76&lt;0.01, D76&gt;999999999)), AND(COUNTA(D76:F76, H76:N76)&gt;0, C76=""""),                  
  AND(COUNTA(C76, H76:N76)&gt;0, D76=""""), LEN(H76)&gt;50, AND(I76&lt;"&amp;"&gt;"""", NOT(ISNUMBER(I76))), AND(ISNUMBER(I76), OR(I76&lt;0, I76&gt;99998)), AND(L76&lt;&gt;"""", NOT(REGEXMATCH(L76&amp;"""", ""^\d{8,14}$"")))), ""Erro"", """")"),"")</f>
      </c>
    </row>
    <row r="77" ht="22.5" customHeight="true">
      <c r="A77" s="33" t="s">
        <v>261</v>
      </c>
      <c r="B77" s="34" t="str">
        <f t="shared" si="1"/>
      </c>
      <c r="C77" s="35" t="s">
        <v>262</v>
      </c>
      <c r="D77" s="36">
        <v>1400</v>
      </c>
      <c r="E77" s="37" t="s">
        <v>41</v>
      </c>
      <c r="F77" s="38"/>
      <c r="G77" s="39" t="str">
        <f t="shared" si="2"/>
      </c>
      <c r="H77" s="40" t="s">
        <v>263</v>
      </c>
      <c r="I77" s="41"/>
      <c r="J77" s="41"/>
      <c r="K77" s="41" t="s">
        <v>54</v>
      </c>
      <c r="L77" s="42" t="s">
        <v>44</v>
      </c>
      <c r="M77" s="43" t="s">
        <v>45</v>
      </c>
      <c r="N77" s="44" t="s">
        <v>47</v>
      </c>
      <c r="O77" s="45" t="s">
        <v>264</v>
      </c>
      <c r="P77" s="46" t="str">
        <f>IFERROR(__xludf.DUMMYFUNCTION("IF(OR(AND(C77&lt;&gt;"""", LEN(C77)&lt;3), LEN(C77)&gt;60, AND(D77&lt;&gt;"""", NOT(ISNUMBER(D77))), AND(ISNUMBER(D77), OR(D77&lt;0.01, D77&gt;999999999)), AND(COUNTA(D77:F77, H77:N77)&gt;0, C77=""""),                  
  AND(COUNTA(C77, H77:N77)&gt;0, D77=""""), LEN(H77)&gt;50, AND(I77&lt;"&amp;"&gt;"""", NOT(ISNUMBER(I77))), AND(ISNUMBER(I77), OR(I77&lt;0, I77&gt;99998)), AND(L77&lt;&gt;"""", NOT(REGEXMATCH(L77&amp;"""", ""^\d{8,14}$"")))), ""Erro"", """")"),"")</f>
      </c>
    </row>
    <row r="78" ht="22.5" customHeight="true">
      <c r="A78" s="33" t="s">
        <v>265</v>
      </c>
      <c r="B78" s="34" t="str">
        <f t="shared" si="1"/>
      </c>
      <c r="C78" s="35" t="s">
        <v>266</v>
      </c>
      <c r="D78" s="36">
        <v>5830</v>
      </c>
      <c r="E78" s="37" t="s">
        <v>41</v>
      </c>
      <c r="F78" s="38"/>
      <c r="G78" s="39" t="str">
        <f t="shared" si="2"/>
      </c>
      <c r="H78" s="40" t="s">
        <v>267</v>
      </c>
      <c r="I78" s="41"/>
      <c r="J78" s="41"/>
      <c r="K78" s="41" t="s">
        <v>43</v>
      </c>
      <c r="L78" s="42" t="s">
        <v>44</v>
      </c>
      <c r="M78" s="43" t="s">
        <v>45</v>
      </c>
      <c r="N78" s="44" t="s">
        <v>47</v>
      </c>
      <c r="O78" s="45" t="s">
        <v>46</v>
      </c>
      <c r="P78" s="46" t="str">
        <f>IFERROR(__xludf.DUMMYFUNCTION("IF(OR(AND(C78&lt;&gt;"""", LEN(C78)&lt;3), LEN(C78)&gt;60, AND(D78&lt;&gt;"""", NOT(ISNUMBER(D78))), AND(ISNUMBER(D78), OR(D78&lt;0.01, D78&gt;999999999)), AND(COUNTA(D78:F78, H78:N78)&gt;0, C78=""""),                  
  AND(COUNTA(C78, H78:N78)&gt;0, D78=""""), LEN(H78)&gt;50, AND(I78&lt;"&amp;"&gt;"""", NOT(ISNUMBER(I78))), AND(ISNUMBER(I78), OR(I78&lt;0, I78&gt;99998)), AND(L78&lt;&gt;"""", NOT(REGEXMATCH(L78&amp;"""", ""^\d{8,14}$"")))), ""Erro"", """")"),"")</f>
      </c>
    </row>
    <row r="79" ht="22.5" customHeight="true">
      <c r="A79" s="33" t="s">
        <v>268</v>
      </c>
      <c r="B79" s="34" t="str">
        <f t="shared" si="1"/>
      </c>
      <c r="C79" s="35" t="s">
        <v>269</v>
      </c>
      <c r="D79" s="36">
        <v>498</v>
      </c>
      <c r="E79" s="37" t="s">
        <v>41</v>
      </c>
      <c r="F79" s="38"/>
      <c r="G79" s="39" t="str">
        <f t="shared" si="2"/>
      </c>
      <c r="H79" s="40" t="s">
        <v>269</v>
      </c>
      <c r="I79" s="41"/>
      <c r="J79" s="41"/>
      <c r="K79" s="41" t="s">
        <v>43</v>
      </c>
      <c r="L79" s="42" t="s">
        <v>44</v>
      </c>
      <c r="M79" s="43" t="s">
        <v>45</v>
      </c>
      <c r="N79" s="44" t="s">
        <v>47</v>
      </c>
      <c r="O79" s="45" t="s">
        <v>46</v>
      </c>
      <c r="P79" s="46" t="str">
        <f>IFERROR(__xludf.DUMMYFUNCTION("IF(OR(AND(C79&lt;&gt;"""", LEN(C79)&lt;3), LEN(C79)&gt;60, AND(D79&lt;&gt;"""", NOT(ISNUMBER(D79))), AND(ISNUMBER(D79), OR(D79&lt;0.01, D79&gt;999999999)), AND(COUNTA(D79:F79, H79:N79)&gt;0, C79=""""),                  
  AND(COUNTA(C79, H79:N79)&gt;0, D79=""""), LEN(H79)&gt;50, AND(I79&lt;"&amp;"&gt;"""", NOT(ISNUMBER(I79))), AND(ISNUMBER(I79), OR(I79&lt;0, I79&gt;99998)), AND(L79&lt;&gt;"""", NOT(REGEXMATCH(L79&amp;"""", ""^\d{8,14}$"")))), ""Erro"", """")"),"")</f>
      </c>
    </row>
    <row r="80" ht="22.5" customHeight="true">
      <c r="A80" s="33" t="s">
        <v>270</v>
      </c>
      <c r="B80" s="34" t="str">
        <f t="shared" si="1"/>
      </c>
      <c r="C80" s="35" t="s">
        <v>271</v>
      </c>
      <c r="D80" s="36">
        <v>625</v>
      </c>
      <c r="E80" s="37" t="s">
        <v>41</v>
      </c>
      <c r="F80" s="38"/>
      <c r="G80" s="39" t="str">
        <f t="shared" si="2"/>
      </c>
      <c r="H80" s="40" t="s">
        <v>272</v>
      </c>
      <c r="I80" s="41"/>
      <c r="J80" s="41"/>
      <c r="K80" s="41" t="s">
        <v>43</v>
      </c>
      <c r="L80" s="42" t="s">
        <v>44</v>
      </c>
      <c r="M80" s="43" t="s">
        <v>45</v>
      </c>
      <c r="N80" s="44" t="s">
        <v>47</v>
      </c>
      <c r="O80" s="45" t="s">
        <v>46</v>
      </c>
      <c r="P80" s="46" t="str">
        <f>IFERROR(__xludf.DUMMYFUNCTION("IF(OR(AND(C80&lt;&gt;"""", LEN(C80)&lt;3), LEN(C80)&gt;60, AND(D80&lt;&gt;"""", NOT(ISNUMBER(D80))), AND(ISNUMBER(D80), OR(D80&lt;0.01, D80&gt;999999999)), AND(COUNTA(D80:F80, H80:N80)&gt;0, C80=""""),                  
  AND(COUNTA(C80, H80:N80)&gt;0, D80=""""), LEN(H80)&gt;50, AND(I80&lt;"&amp;"&gt;"""", NOT(ISNUMBER(I80))), AND(ISNUMBER(I80), OR(I80&lt;0, I80&gt;99998)), AND(L80&lt;&gt;"""", NOT(REGEXMATCH(L80&amp;"""", ""^\d{8,14}$"")))), ""Erro"", """")"),"")</f>
      </c>
    </row>
    <row r="81" ht="22.5" customHeight="true">
      <c r="A81" s="33" t="s">
        <v>273</v>
      </c>
      <c r="B81" s="34" t="str">
        <f t="shared" si="1"/>
      </c>
      <c r="C81" s="35" t="s">
        <v>274</v>
      </c>
      <c r="D81" s="36">
        <v>500</v>
      </c>
      <c r="E81" s="37" t="s">
        <v>41</v>
      </c>
      <c r="F81" s="38"/>
      <c r="G81" s="39" t="str">
        <f t="shared" si="2"/>
      </c>
      <c r="H81" s="40" t="s">
        <v>275</v>
      </c>
      <c r="I81" s="41"/>
      <c r="J81" s="41"/>
      <c r="K81" s="41" t="s">
        <v>80</v>
      </c>
      <c r="L81" s="42" t="s">
        <v>44</v>
      </c>
      <c r="M81" s="43" t="s">
        <v>45</v>
      </c>
      <c r="N81" s="44" t="s">
        <v>47</v>
      </c>
      <c r="O81" s="45" t="s">
        <v>46</v>
      </c>
      <c r="P81" s="46" t="str">
        <f>IFERROR(__xludf.DUMMYFUNCTION("IF(OR(AND(C81&lt;&gt;"""", LEN(C81)&lt;3), LEN(C81)&gt;60, AND(D81&lt;&gt;"""", NOT(ISNUMBER(D81))), AND(ISNUMBER(D81), OR(D81&lt;0.01, D81&gt;999999999)), AND(COUNTA(D81:F81, H81:N81)&gt;0, C81=""""),                  
  AND(COUNTA(C81, H81:N81)&gt;0, D81=""""), LEN(H81)&gt;50, AND(I81&lt;"&amp;"&gt;"""", NOT(ISNUMBER(I81))), AND(ISNUMBER(I81), OR(I81&lt;0, I81&gt;99998)), AND(L81&lt;&gt;"""", NOT(REGEXMATCH(L81&amp;"""", ""^\d{8,14}$"")))), ""Erro"", """")"),"")</f>
      </c>
    </row>
    <row r="82" ht="22.5" customHeight="true">
      <c r="A82" s="33" t="s">
        <v>276</v>
      </c>
      <c r="B82" s="34" t="str">
        <f t="shared" si="1"/>
      </c>
      <c r="C82" s="35" t="s">
        <v>277</v>
      </c>
      <c r="D82" s="36">
        <v>550</v>
      </c>
      <c r="E82" s="37" t="s">
        <v>41</v>
      </c>
      <c r="F82" s="38"/>
      <c r="G82" s="39" t="str">
        <f t="shared" si="2"/>
      </c>
      <c r="H82" s="40" t="s">
        <v>278</v>
      </c>
      <c r="I82" s="41"/>
      <c r="J82" s="41"/>
      <c r="K82" s="41" t="s">
        <v>80</v>
      </c>
      <c r="L82" s="42" t="s">
        <v>44</v>
      </c>
      <c r="M82" s="43" t="s">
        <v>45</v>
      </c>
      <c r="N82" s="44" t="s">
        <v>47</v>
      </c>
      <c r="O82" s="45" t="s">
        <v>46</v>
      </c>
      <c r="P82" s="46" t="str">
        <f>IFERROR(__xludf.DUMMYFUNCTION("IF(OR(AND(C82&lt;&gt;"""", LEN(C82)&lt;3), LEN(C82)&gt;60, AND(D82&lt;&gt;"""", NOT(ISNUMBER(D82))), AND(ISNUMBER(D82), OR(D82&lt;0.01, D82&gt;999999999)), AND(COUNTA(D82:F82, H82:N82)&gt;0, C82=""""),                  
  AND(COUNTA(C82, H82:N82)&gt;0, D82=""""), LEN(H82)&gt;50, AND(I82&lt;"&amp;"&gt;"""", NOT(ISNUMBER(I82))), AND(ISNUMBER(I82), OR(I82&lt;0, I82&gt;99998)), AND(L82&lt;&gt;"""", NOT(REGEXMATCH(L82&amp;"""", ""^\d{8,14}$"")))), ""Erro"", """")"),"")</f>
      </c>
    </row>
    <row r="83" ht="22.5" customHeight="true">
      <c r="A83" s="33" t="s">
        <v>279</v>
      </c>
      <c r="B83" s="34" t="str">
        <f t="shared" si="1"/>
      </c>
      <c r="C83" s="35" t="s">
        <v>280</v>
      </c>
      <c r="D83" s="36">
        <v>1155</v>
      </c>
      <c r="E83" s="37" t="s">
        <v>41</v>
      </c>
      <c r="F83" s="38"/>
      <c r="G83" s="39" t="str">
        <f t="shared" si="2"/>
      </c>
      <c r="H83" s="40" t="s">
        <v>281</v>
      </c>
      <c r="I83" s="41"/>
      <c r="J83" s="41"/>
      <c r="K83" s="41" t="s">
        <v>43</v>
      </c>
      <c r="L83" s="42" t="s">
        <v>44</v>
      </c>
      <c r="M83" s="43" t="s">
        <v>45</v>
      </c>
      <c r="N83" s="44" t="s">
        <v>47</v>
      </c>
      <c r="O83" s="45" t="s">
        <v>46</v>
      </c>
      <c r="P83" s="46" t="str">
        <f>IFERROR(__xludf.DUMMYFUNCTION("IF(OR(AND(C83&lt;&gt;"""", LEN(C83)&lt;3), LEN(C83)&gt;60, AND(D83&lt;&gt;"""", NOT(ISNUMBER(D83))), AND(ISNUMBER(D83), OR(D83&lt;0.01, D83&gt;999999999)), AND(COUNTA(D83:F83, H83:N83)&gt;0, C83=""""),                  
  AND(COUNTA(C83, H83:N83)&gt;0, D83=""""), LEN(H83)&gt;50, AND(I83&lt;"&amp;"&gt;"""", NOT(ISNUMBER(I83))), AND(ISNUMBER(I83), OR(I83&lt;0, I83&gt;99998)), AND(L83&lt;&gt;"""", NOT(REGEXMATCH(L83&amp;"""", ""^\d{8,14}$"")))), ""Erro"", """")"),"")</f>
      </c>
    </row>
    <row r="84" ht="22.5" customHeight="true">
      <c r="A84" s="33" t="s">
        <v>282</v>
      </c>
      <c r="B84" s="34" t="str">
        <f t="shared" si="1"/>
      </c>
      <c r="C84" s="35" t="s">
        <v>283</v>
      </c>
      <c r="D84" s="36">
        <v>16000</v>
      </c>
      <c r="E84" s="37" t="s">
        <v>41</v>
      </c>
      <c r="F84" s="38"/>
      <c r="G84" s="39" t="str">
        <f t="shared" si="2"/>
      </c>
      <c r="H84" s="40" t="s">
        <v>284</v>
      </c>
      <c r="I84" s="41"/>
      <c r="J84" s="41"/>
      <c r="K84" s="41" t="s">
        <v>43</v>
      </c>
      <c r="L84" s="42" t="s">
        <v>44</v>
      </c>
      <c r="M84" s="43" t="s">
        <v>45</v>
      </c>
      <c r="N84" s="44" t="s">
        <v>47</v>
      </c>
      <c r="O84" s="45" t="s">
        <v>46</v>
      </c>
      <c r="P84" s="46" t="str">
        <f>IFERROR(__xludf.DUMMYFUNCTION("IF(OR(AND(C84&lt;&gt;"""", LEN(C84)&lt;3), LEN(C84)&gt;60, AND(D84&lt;&gt;"""", NOT(ISNUMBER(D84))), AND(ISNUMBER(D84), OR(D84&lt;0.01, D84&gt;999999999)), AND(COUNTA(D84:F84, H84:N84)&gt;0, C84=""""),                  
  AND(COUNTA(C84, H84:N84)&gt;0, D84=""""), LEN(H84)&gt;50, AND(I84&lt;"&amp;"&gt;"""", NOT(ISNUMBER(I84))), AND(ISNUMBER(I84), OR(I84&lt;0, I84&gt;99998)), AND(L84&lt;&gt;"""", NOT(REGEXMATCH(L84&amp;"""", ""^\d{8,14}$"")))), ""Erro"", """")"),"")</f>
      </c>
    </row>
    <row r="85" ht="22.5" customHeight="true">
      <c r="A85" s="33" t="s">
        <v>285</v>
      </c>
      <c r="B85" s="34" t="str">
        <f t="shared" si="1"/>
      </c>
      <c r="C85" s="35" t="s">
        <v>286</v>
      </c>
      <c r="D85" s="36">
        <v>440</v>
      </c>
      <c r="E85" s="37" t="s">
        <v>41</v>
      </c>
      <c r="F85" s="38"/>
      <c r="G85" s="39" t="str">
        <f t="shared" si="2"/>
      </c>
      <c r="H85" s="40" t="s">
        <v>287</v>
      </c>
      <c r="I85" s="41"/>
      <c r="J85" s="41"/>
      <c r="K85" s="41" t="s">
        <v>43</v>
      </c>
      <c r="L85" s="42" t="s">
        <v>44</v>
      </c>
      <c r="M85" s="43" t="s">
        <v>45</v>
      </c>
      <c r="N85" s="44" t="s">
        <v>47</v>
      </c>
      <c r="O85" s="45" t="s">
        <v>46</v>
      </c>
      <c r="P85" s="46" t="str">
        <f>IFERROR(__xludf.DUMMYFUNCTION("IF(OR(AND(C85&lt;&gt;"""", LEN(C85)&lt;3), LEN(C85)&gt;60, AND(D85&lt;&gt;"""", NOT(ISNUMBER(D85))), AND(ISNUMBER(D85), OR(D85&lt;0.01, D85&gt;999999999)), AND(COUNTA(D85:F85, H85:N85)&gt;0, C85=""""),                  
  AND(COUNTA(C85, H85:N85)&gt;0, D85=""""), LEN(H85)&gt;50, AND(I85&lt;"&amp;"&gt;"""", NOT(ISNUMBER(I85))), AND(ISNUMBER(I85), OR(I85&lt;0, I85&gt;99998)), AND(L85&lt;&gt;"""", NOT(REGEXMATCH(L85&amp;"""", ""^\d{8,14}$"")))), ""Erro"", """")"),"")</f>
      </c>
    </row>
    <row r="86" ht="22.5" customHeight="true">
      <c r="A86" s="33" t="s">
        <v>288</v>
      </c>
      <c r="B86" s="34" t="str">
        <f t="shared" si="1"/>
      </c>
      <c r="C86" s="35" t="s">
        <v>289</v>
      </c>
      <c r="D86" s="36">
        <v>2369</v>
      </c>
      <c r="E86" s="37" t="s">
        <v>41</v>
      </c>
      <c r="F86" s="38"/>
      <c r="G86" s="39" t="str">
        <f t="shared" si="2"/>
      </c>
      <c r="H86" s="40" t="s">
        <v>290</v>
      </c>
      <c r="I86" s="41"/>
      <c r="J86" s="41"/>
      <c r="K86" s="41" t="s">
        <v>43</v>
      </c>
      <c r="L86" s="42" t="s">
        <v>44</v>
      </c>
      <c r="M86" s="43" t="s">
        <v>45</v>
      </c>
      <c r="N86" s="44" t="s">
        <v>47</v>
      </c>
      <c r="O86" s="45" t="s">
        <v>46</v>
      </c>
      <c r="P86" s="46" t="str">
        <f>IFERROR(__xludf.DUMMYFUNCTION("IF(OR(AND(C86&lt;&gt;"""", LEN(C86)&lt;3), LEN(C86)&gt;60, AND(D86&lt;&gt;"""", NOT(ISNUMBER(D86))), AND(ISNUMBER(D86), OR(D86&lt;0.01, D86&gt;999999999)), AND(COUNTA(D86:F86, H86:N86)&gt;0, C86=""""),                  
  AND(COUNTA(C86, H86:N86)&gt;0, D86=""""), LEN(H86)&gt;50, AND(I86&lt;"&amp;"&gt;"""", NOT(ISNUMBER(I86))), AND(ISNUMBER(I86), OR(I86&lt;0, I86&gt;99998)), AND(L86&lt;&gt;"""", NOT(REGEXMATCH(L86&amp;"""", ""^\d{8,14}$"")))), ""Erro"", """")"),"")</f>
      </c>
    </row>
    <row r="87" ht="22.5" customHeight="true">
      <c r="A87" s="33" t="s">
        <v>291</v>
      </c>
      <c r="B87" s="34" t="str">
        <f t="shared" si="1"/>
      </c>
      <c r="C87" s="35" t="s">
        <v>292</v>
      </c>
      <c r="D87" s="36">
        <v>6429</v>
      </c>
      <c r="E87" s="37" t="s">
        <v>41</v>
      </c>
      <c r="F87" s="38"/>
      <c r="G87" s="39" t="str">
        <f t="shared" si="2"/>
      </c>
      <c r="H87" s="40" t="s">
        <v>293</v>
      </c>
      <c r="I87" s="41"/>
      <c r="J87" s="41"/>
      <c r="K87" s="41" t="s">
        <v>43</v>
      </c>
      <c r="L87" s="42" t="s">
        <v>44</v>
      </c>
      <c r="M87" s="43" t="s">
        <v>45</v>
      </c>
      <c r="N87" s="44" t="s">
        <v>47</v>
      </c>
      <c r="O87" s="45" t="s">
        <v>46</v>
      </c>
      <c r="P87" s="46" t="str">
        <f>IFERROR(__xludf.DUMMYFUNCTION("IF(OR(AND(C87&lt;&gt;"""", LEN(C87)&lt;3), LEN(C87)&gt;60, AND(D87&lt;&gt;"""", NOT(ISNUMBER(D87))), AND(ISNUMBER(D87), OR(D87&lt;0.01, D87&gt;999999999)), AND(COUNTA(D87:F87, H87:N87)&gt;0, C87=""""),                  
  AND(COUNTA(C87, H87:N87)&gt;0, D87=""""), LEN(H87)&gt;50, AND(I87&lt;"&amp;"&gt;"""", NOT(ISNUMBER(I87))), AND(ISNUMBER(I87), OR(I87&lt;0, I87&gt;99998)), AND(L87&lt;&gt;"""", NOT(REGEXMATCH(L87&amp;"""", ""^\d{8,14}$"")))), ""Erro"", """")"),"")</f>
      </c>
    </row>
    <row r="88" ht="22.5" customHeight="true">
      <c r="A88" s="33" t="s">
        <v>294</v>
      </c>
      <c r="B88" s="34" t="str">
        <f t="shared" si="1"/>
      </c>
      <c r="C88" s="35" t="s">
        <v>295</v>
      </c>
      <c r="D88" s="36">
        <v>159</v>
      </c>
      <c r="E88" s="37" t="s">
        <v>41</v>
      </c>
      <c r="F88" s="38"/>
      <c r="G88" s="39" t="str">
        <f t="shared" si="2"/>
      </c>
      <c r="H88" s="40" t="s">
        <v>296</v>
      </c>
      <c r="I88" s="41"/>
      <c r="J88" s="41"/>
      <c r="K88" s="41" t="s">
        <v>43</v>
      </c>
      <c r="L88" s="42" t="s">
        <v>44</v>
      </c>
      <c r="M88" s="43" t="s">
        <v>45</v>
      </c>
      <c r="N88" s="44" t="s">
        <v>47</v>
      </c>
      <c r="O88" s="45" t="s">
        <v>46</v>
      </c>
      <c r="P88" s="46" t="str">
        <f>IFERROR(__xludf.DUMMYFUNCTION("IF(OR(AND(C88&lt;&gt;"""", LEN(C88)&lt;3), LEN(C88)&gt;60, AND(D88&lt;&gt;"""", NOT(ISNUMBER(D88))), AND(ISNUMBER(D88), OR(D88&lt;0.01, D88&gt;999999999)), AND(COUNTA(D88:F88, H88:N88)&gt;0, C88=""""),                  
  AND(COUNTA(C88, H88:N88)&gt;0, D88=""""), LEN(H88)&gt;50, AND(I88&lt;"&amp;"&gt;"""", NOT(ISNUMBER(I88))), AND(ISNUMBER(I88), OR(I88&lt;0, I88&gt;99998)), AND(L88&lt;&gt;"""", NOT(REGEXMATCH(L88&amp;"""", ""^\d{8,14}$"")))), ""Erro"", """")"),"")</f>
      </c>
    </row>
    <row r="89" ht="22.5" customHeight="true">
      <c r="A89" s="33" t="s">
        <v>297</v>
      </c>
      <c r="B89" s="34" t="str">
        <f t="shared" si="1"/>
      </c>
      <c r="C89" s="35" t="s">
        <v>298</v>
      </c>
      <c r="D89" s="36">
        <v>191</v>
      </c>
      <c r="E89" s="37" t="s">
        <v>41</v>
      </c>
      <c r="F89" s="38"/>
      <c r="G89" s="39" t="str">
        <f t="shared" si="2"/>
      </c>
      <c r="H89" s="40" t="s">
        <v>299</v>
      </c>
      <c r="I89" s="41"/>
      <c r="J89" s="41"/>
      <c r="K89" s="41" t="s">
        <v>43</v>
      </c>
      <c r="L89" s="42" t="s">
        <v>44</v>
      </c>
      <c r="M89" s="43" t="s">
        <v>45</v>
      </c>
      <c r="N89" s="44" t="s">
        <v>47</v>
      </c>
      <c r="O89" s="45" t="s">
        <v>46</v>
      </c>
      <c r="P89" s="46" t="str">
        <f>IFERROR(__xludf.DUMMYFUNCTION("IF(OR(AND(C89&lt;&gt;"""", LEN(C89)&lt;3), LEN(C89)&gt;60, AND(D89&lt;&gt;"""", NOT(ISNUMBER(D89))), AND(ISNUMBER(D89), OR(D89&lt;0.01, D89&gt;999999999)), AND(COUNTA(D89:F89, H89:N89)&gt;0, C89=""""),                  
  AND(COUNTA(C89, H89:N89)&gt;0, D89=""""), LEN(H89)&gt;50, AND(I89&lt;"&amp;"&gt;"""", NOT(ISNUMBER(I89))), AND(ISNUMBER(I89), OR(I89&lt;0, I89&gt;99998)), AND(L89&lt;&gt;"""", NOT(REGEXMATCH(L89&amp;"""", ""^\d{8,14}$"")))), ""Erro"", """")"),"")</f>
      </c>
    </row>
    <row r="90" ht="22.5" customHeight="true">
      <c r="A90" s="33" t="s">
        <v>300</v>
      </c>
      <c r="B90" s="34" t="str">
        <f t="shared" si="1"/>
      </c>
      <c r="C90" s="35" t="s">
        <v>301</v>
      </c>
      <c r="D90" s="36">
        <v>1800</v>
      </c>
      <c r="E90" s="37" t="s">
        <v>41</v>
      </c>
      <c r="F90" s="38"/>
      <c r="G90" s="39" t="str">
        <f t="shared" si="2"/>
      </c>
      <c r="H90" s="40" t="s">
        <v>302</v>
      </c>
      <c r="I90" s="41"/>
      <c r="J90" s="41"/>
      <c r="K90" s="41" t="s">
        <v>54</v>
      </c>
      <c r="L90" s="42" t="s">
        <v>44</v>
      </c>
      <c r="M90" s="43" t="s">
        <v>45</v>
      </c>
      <c r="N90" s="44" t="s">
        <v>47</v>
      </c>
      <c r="O90" s="45" t="s">
        <v>46</v>
      </c>
      <c r="P90" s="46" t="str">
        <f>IFERROR(__xludf.DUMMYFUNCTION("IF(OR(AND(C90&lt;&gt;"""", LEN(C90)&lt;3), LEN(C90)&gt;60, AND(D90&lt;&gt;"""", NOT(ISNUMBER(D90))), AND(ISNUMBER(D90), OR(D90&lt;0.01, D90&gt;999999999)), AND(COUNTA(D90:F90, H90:N90)&gt;0, C90=""""),                  
  AND(COUNTA(C90, H90:N90)&gt;0, D90=""""), LEN(H90)&gt;50, AND(I90&lt;"&amp;"&gt;"""", NOT(ISNUMBER(I90))), AND(ISNUMBER(I90), OR(I90&lt;0, I90&gt;99998)), AND(L90&lt;&gt;"""", NOT(REGEXMATCH(L90&amp;"""", ""^\d{8,14}$"")))), ""Erro"", """")"),"")</f>
      </c>
    </row>
    <row r="91" ht="22.5" customHeight="true">
      <c r="A91" s="33" t="s">
        <v>303</v>
      </c>
      <c r="B91" s="34" t="str">
        <f t="shared" si="1"/>
      </c>
      <c r="C91" s="35" t="s">
        <v>304</v>
      </c>
      <c r="D91" s="36">
        <v>784</v>
      </c>
      <c r="E91" s="37" t="s">
        <v>41</v>
      </c>
      <c r="F91" s="38"/>
      <c r="G91" s="39" t="str">
        <f t="shared" si="2"/>
      </c>
      <c r="H91" s="40" t="s">
        <v>305</v>
      </c>
      <c r="I91" s="41"/>
      <c r="J91" s="41"/>
      <c r="K91" s="41" t="s">
        <v>43</v>
      </c>
      <c r="L91" s="42" t="s">
        <v>44</v>
      </c>
      <c r="M91" s="43" t="s">
        <v>45</v>
      </c>
      <c r="N91" s="44" t="s">
        <v>47</v>
      </c>
      <c r="O91" s="45" t="s">
        <v>46</v>
      </c>
      <c r="P91" s="46" t="str">
        <f>IFERROR(__xludf.DUMMYFUNCTION("IF(OR(AND(C91&lt;&gt;"""", LEN(C91)&lt;3), LEN(C91)&gt;60, AND(D91&lt;&gt;"""", NOT(ISNUMBER(D91))), AND(ISNUMBER(D91), OR(D91&lt;0.01, D91&gt;999999999)), AND(COUNTA(D91:F91, H91:N91)&gt;0, C91=""""),                  
  AND(COUNTA(C91, H91:N91)&gt;0, D91=""""), LEN(H91)&gt;50, AND(I91&lt;"&amp;"&gt;"""", NOT(ISNUMBER(I91))), AND(ISNUMBER(I91), OR(I91&lt;0, I91&gt;99998)), AND(L91&lt;&gt;"""", NOT(REGEXMATCH(L91&amp;"""", ""^\d{8,14}$"")))), ""Erro"", """")"),"")</f>
      </c>
    </row>
    <row r="92" ht="22.5" customHeight="true">
      <c r="A92" s="33" t="s">
        <v>306</v>
      </c>
      <c r="B92" s="34" t="str">
        <f t="shared" si="1"/>
      </c>
      <c r="C92" s="35" t="s">
        <v>307</v>
      </c>
      <c r="D92" s="36">
        <v>620</v>
      </c>
      <c r="E92" s="37" t="s">
        <v>41</v>
      </c>
      <c r="F92" s="38"/>
      <c r="G92" s="39" t="str">
        <f t="shared" si="2"/>
      </c>
      <c r="H92" s="40" t="s">
        <v>308</v>
      </c>
      <c r="I92" s="41"/>
      <c r="J92" s="41"/>
      <c r="K92" s="41" t="s">
        <v>43</v>
      </c>
      <c r="L92" s="42" t="s">
        <v>44</v>
      </c>
      <c r="M92" s="43" t="s">
        <v>45</v>
      </c>
      <c r="N92" s="44" t="s">
        <v>47</v>
      </c>
      <c r="O92" s="45" t="s">
        <v>46</v>
      </c>
      <c r="P92" s="46" t="str">
        <f>IFERROR(__xludf.DUMMYFUNCTION("IF(OR(AND(C92&lt;&gt;"""", LEN(C92)&lt;3), LEN(C92)&gt;60, AND(D92&lt;&gt;"""", NOT(ISNUMBER(D92))), AND(ISNUMBER(D92), OR(D92&lt;0.01, D92&gt;999999999)), AND(COUNTA(D92:F92, H92:N92)&gt;0, C92=""""),                  
  AND(COUNTA(C92, H92:N92)&gt;0, D92=""""), LEN(H92)&gt;50, AND(I92&lt;"&amp;"&gt;"""", NOT(ISNUMBER(I92))), AND(ISNUMBER(I92), OR(I92&lt;0, I92&gt;99998)), AND(L92&lt;&gt;"""", NOT(REGEXMATCH(L92&amp;"""", ""^\d{8,14}$"")))), ""Erro"", """")"),"")</f>
      </c>
    </row>
    <row r="93" ht="22.5" customHeight="true">
      <c r="A93" s="33" t="s">
        <v>309</v>
      </c>
      <c r="B93" s="34" t="str">
        <f t="shared" si="1"/>
      </c>
      <c r="C93" s="35" t="s">
        <v>310</v>
      </c>
      <c r="D93" s="36">
        <v>286</v>
      </c>
      <c r="E93" s="37" t="s">
        <v>41</v>
      </c>
      <c r="F93" s="38"/>
      <c r="G93" s="39" t="str">
        <f t="shared" si="2"/>
      </c>
      <c r="H93" s="40" t="s">
        <v>311</v>
      </c>
      <c r="I93" s="41"/>
      <c r="J93" s="41"/>
      <c r="K93" s="41" t="s">
        <v>43</v>
      </c>
      <c r="L93" s="42" t="s">
        <v>44</v>
      </c>
      <c r="M93" s="43" t="s">
        <v>45</v>
      </c>
      <c r="N93" s="44" t="s">
        <v>47</v>
      </c>
      <c r="O93" s="45" t="s">
        <v>46</v>
      </c>
      <c r="P93" s="46" t="str">
        <f>IFERROR(__xludf.DUMMYFUNCTION("IF(OR(AND(C93&lt;&gt;"""", LEN(C93)&lt;3), LEN(C93)&gt;60, AND(D93&lt;&gt;"""", NOT(ISNUMBER(D93))), AND(ISNUMBER(D93), OR(D93&lt;0.01, D93&gt;999999999)), AND(COUNTA(D93:F93, H93:N93)&gt;0, C93=""""),                  
  AND(COUNTA(C93, H93:N93)&gt;0, D93=""""), LEN(H93)&gt;50, AND(I93&lt;"&amp;"&gt;"""", NOT(ISNUMBER(I93))), AND(ISNUMBER(I93), OR(I93&lt;0, I93&gt;99998)), AND(L93&lt;&gt;"""", NOT(REGEXMATCH(L93&amp;"""", ""^\d{8,14}$"")))), ""Erro"", """")"),"")</f>
      </c>
    </row>
    <row r="94" ht="22.5" customHeight="true">
      <c r="A94" s="33" t="s">
        <v>312</v>
      </c>
      <c r="B94" s="34" t="str">
        <f t="shared" si="1"/>
      </c>
      <c r="C94" s="35" t="s">
        <v>313</v>
      </c>
      <c r="D94" s="36">
        <v>3180</v>
      </c>
      <c r="E94" s="37" t="s">
        <v>41</v>
      </c>
      <c r="F94" s="38"/>
      <c r="G94" s="39" t="str">
        <f t="shared" si="2"/>
      </c>
      <c r="H94" s="40" t="s">
        <v>314</v>
      </c>
      <c r="I94" s="41"/>
      <c r="J94" s="41"/>
      <c r="K94" s="41" t="s">
        <v>43</v>
      </c>
      <c r="L94" s="42" t="s">
        <v>44</v>
      </c>
      <c r="M94" s="43" t="s">
        <v>45</v>
      </c>
      <c r="N94" s="44" t="s">
        <v>47</v>
      </c>
      <c r="O94" s="45" t="s">
        <v>46</v>
      </c>
      <c r="P94" s="46" t="str">
        <f>IFERROR(__xludf.DUMMYFUNCTION("IF(OR(AND(C94&lt;&gt;"""", LEN(C94)&lt;3), LEN(C94)&gt;60, AND(D94&lt;&gt;"""", NOT(ISNUMBER(D94))), AND(ISNUMBER(D94), OR(D94&lt;0.01, D94&gt;999999999)), AND(COUNTA(D94:F94, H94:N94)&gt;0, C94=""""),                  
  AND(COUNTA(C94, H94:N94)&gt;0, D94=""""), LEN(H94)&gt;50, AND(I94&lt;"&amp;"&gt;"""", NOT(ISNUMBER(I94))), AND(ISNUMBER(I94), OR(I94&lt;0, I94&gt;99998)), AND(L94&lt;&gt;"""", NOT(REGEXMATCH(L94&amp;"""", ""^\d{8,14}$"")))), ""Erro"", """")"),"")</f>
      </c>
    </row>
    <row r="95" ht="22.5" customHeight="true">
      <c r="A95" s="33" t="s">
        <v>315</v>
      </c>
      <c r="B95" s="34" t="str">
        <f t="shared" si="1"/>
      </c>
      <c r="C95" s="35" t="s">
        <v>316</v>
      </c>
      <c r="D95" s="36">
        <v>276</v>
      </c>
      <c r="E95" s="37" t="s">
        <v>41</v>
      </c>
      <c r="F95" s="38"/>
      <c r="G95" s="39" t="str">
        <f t="shared" si="2"/>
      </c>
      <c r="H95" s="40" t="s">
        <v>317</v>
      </c>
      <c r="I95" s="41"/>
      <c r="J95" s="41"/>
      <c r="K95" s="41" t="s">
        <v>43</v>
      </c>
      <c r="L95" s="42" t="s">
        <v>44</v>
      </c>
      <c r="M95" s="43" t="s">
        <v>45</v>
      </c>
      <c r="N95" s="44" t="s">
        <v>47</v>
      </c>
      <c r="O95" s="45" t="s">
        <v>46</v>
      </c>
      <c r="P95" s="46" t="str">
        <f>IFERROR(__xludf.DUMMYFUNCTION("IF(OR(AND(C95&lt;&gt;"""", LEN(C95)&lt;3), LEN(C95)&gt;60, AND(D95&lt;&gt;"""", NOT(ISNUMBER(D95))), AND(ISNUMBER(D95), OR(D95&lt;0.01, D95&gt;999999999)), AND(COUNTA(D95:F95, H95:N95)&gt;0, C95=""""),                  
  AND(COUNTA(C95, H95:N95)&gt;0, D95=""""), LEN(H95)&gt;50, AND(I95&lt;"&amp;"&gt;"""", NOT(ISNUMBER(I95))), AND(ISNUMBER(I95), OR(I95&lt;0, I95&gt;99998)), AND(L95&lt;&gt;"""", NOT(REGEXMATCH(L95&amp;"""", ""^\d{8,14}$"")))), ""Erro"", """")"),"")</f>
      </c>
    </row>
    <row r="96" ht="22.5" customHeight="true">
      <c r="A96" s="33" t="s">
        <v>318</v>
      </c>
      <c r="B96" s="34" t="str">
        <f t="shared" si="1"/>
      </c>
      <c r="C96" s="35" t="s">
        <v>319</v>
      </c>
      <c r="D96" s="36">
        <v>1200</v>
      </c>
      <c r="E96" s="37" t="s">
        <v>41</v>
      </c>
      <c r="F96" s="38"/>
      <c r="G96" s="39" t="str">
        <f t="shared" si="2"/>
      </c>
      <c r="H96" s="40" t="s">
        <v>320</v>
      </c>
      <c r="I96" s="41"/>
      <c r="J96" s="41"/>
      <c r="K96" s="41" t="s">
        <v>80</v>
      </c>
      <c r="L96" s="42" t="s">
        <v>44</v>
      </c>
      <c r="M96" s="43" t="s">
        <v>45</v>
      </c>
      <c r="N96" s="44" t="s">
        <v>47</v>
      </c>
      <c r="O96" s="45" t="s">
        <v>46</v>
      </c>
      <c r="P96" s="46" t="str">
        <f>IFERROR(__xludf.DUMMYFUNCTION("IF(OR(AND(C96&lt;&gt;"""", LEN(C96)&lt;3), LEN(C96)&gt;60, AND(D96&lt;&gt;"""", NOT(ISNUMBER(D96))), AND(ISNUMBER(D96), OR(D96&lt;0.01, D96&gt;999999999)), AND(COUNTA(D96:F96, H96:N96)&gt;0, C96=""""),                  
  AND(COUNTA(C96, H96:N96)&gt;0, D96=""""), LEN(H96)&gt;50, AND(I96&lt;"&amp;"&gt;"""", NOT(ISNUMBER(I96))), AND(ISNUMBER(I96), OR(I96&lt;0, I96&gt;99998)), AND(L96&lt;&gt;"""", NOT(REGEXMATCH(L96&amp;"""", ""^\d{8,14}$"")))), ""Erro"", """")"),"")</f>
      </c>
    </row>
    <row r="97" ht="22.5" customHeight="true">
      <c r="A97" s="33" t="s">
        <v>321</v>
      </c>
      <c r="B97" s="34" t="str">
        <f t="shared" si="1"/>
      </c>
      <c r="C97" s="35" t="s">
        <v>322</v>
      </c>
      <c r="D97" s="36">
        <v>450</v>
      </c>
      <c r="E97" s="37" t="s">
        <v>41</v>
      </c>
      <c r="F97" s="38"/>
      <c r="G97" s="39" t="str">
        <f t="shared" si="2"/>
      </c>
      <c r="H97" s="40" t="s">
        <v>323</v>
      </c>
      <c r="I97" s="41"/>
      <c r="J97" s="41"/>
      <c r="K97" s="41" t="s">
        <v>80</v>
      </c>
      <c r="L97" s="42" t="s">
        <v>44</v>
      </c>
      <c r="M97" s="43" t="s">
        <v>45</v>
      </c>
      <c r="N97" s="44" t="s">
        <v>47</v>
      </c>
      <c r="O97" s="45" t="s">
        <v>46</v>
      </c>
      <c r="P97" s="46" t="str">
        <f>IFERROR(__xludf.DUMMYFUNCTION("IF(OR(AND(C97&lt;&gt;"""", LEN(C97)&lt;3), LEN(C97)&gt;60, AND(D97&lt;&gt;"""", NOT(ISNUMBER(D97))), AND(ISNUMBER(D97), OR(D97&lt;0.01, D97&gt;999999999)), AND(COUNTA(D97:F97, H97:N97)&gt;0, C97=""""),                  
  AND(COUNTA(C97, H97:N97)&gt;0, D97=""""), LEN(H97)&gt;50, AND(I97&lt;"&amp;"&gt;"""", NOT(ISNUMBER(I97))), AND(ISNUMBER(I97), OR(I97&lt;0, I97&gt;99998)), AND(L97&lt;&gt;"""", NOT(REGEXMATCH(L97&amp;"""", ""^\d{8,14}$"")))), ""Erro"", """")"),"")</f>
      </c>
    </row>
    <row r="98" ht="22.5" customHeight="true">
      <c r="A98" s="33" t="s">
        <v>324</v>
      </c>
      <c r="B98" s="34" t="str">
        <f t="shared" si="1"/>
      </c>
      <c r="C98" s="35" t="s">
        <v>325</v>
      </c>
      <c r="D98" s="36">
        <v>2671</v>
      </c>
      <c r="E98" s="37" t="s">
        <v>41</v>
      </c>
      <c r="F98" s="38"/>
      <c r="G98" s="39" t="str">
        <f t="shared" si="2"/>
      </c>
      <c r="H98" s="40" t="s">
        <v>326</v>
      </c>
      <c r="I98" s="41"/>
      <c r="J98" s="41"/>
      <c r="K98" s="41" t="s">
        <v>43</v>
      </c>
      <c r="L98" s="42" t="s">
        <v>44</v>
      </c>
      <c r="M98" s="43" t="s">
        <v>45</v>
      </c>
      <c r="N98" s="44" t="s">
        <v>47</v>
      </c>
      <c r="O98" s="45" t="s">
        <v>46</v>
      </c>
      <c r="P98" s="46" t="str">
        <f>IFERROR(__xludf.DUMMYFUNCTION("IF(OR(AND(C98&lt;&gt;"""", LEN(C98)&lt;3), LEN(C98)&gt;60, AND(D98&lt;&gt;"""", NOT(ISNUMBER(D98))), AND(ISNUMBER(D98), OR(D98&lt;0.01, D98&gt;999999999)), AND(COUNTA(D98:F98, H98:N98)&gt;0, C98=""""),                  
  AND(COUNTA(C98, H98:N98)&gt;0, D98=""""), LEN(H98)&gt;50, AND(I98&lt;"&amp;"&gt;"""", NOT(ISNUMBER(I98))), AND(ISNUMBER(I98), OR(I98&lt;0, I98&gt;99998)), AND(L98&lt;&gt;"""", NOT(REGEXMATCH(L98&amp;"""", ""^\d{8,14}$"")))), ""Erro"", """")"),"")</f>
      </c>
    </row>
    <row r="99" ht="22.5" customHeight="true">
      <c r="A99" s="33" t="s">
        <v>327</v>
      </c>
      <c r="B99" s="34" t="str">
        <f t="shared" si="1"/>
      </c>
      <c r="C99" s="35" t="s">
        <v>328</v>
      </c>
      <c r="D99" s="36">
        <v>3985</v>
      </c>
      <c r="E99" s="37" t="s">
        <v>41</v>
      </c>
      <c r="F99" s="38"/>
      <c r="G99" s="39" t="str">
        <f t="shared" si="2"/>
      </c>
      <c r="H99" s="40" t="s">
        <v>329</v>
      </c>
      <c r="I99" s="41"/>
      <c r="J99" s="41"/>
      <c r="K99" s="41" t="s">
        <v>43</v>
      </c>
      <c r="L99" s="42" t="s">
        <v>44</v>
      </c>
      <c r="M99" s="43" t="s">
        <v>45</v>
      </c>
      <c r="N99" s="44" t="s">
        <v>47</v>
      </c>
      <c r="O99" s="45" t="s">
        <v>46</v>
      </c>
      <c r="P99" s="46" t="str">
        <f>IFERROR(__xludf.DUMMYFUNCTION("IF(OR(AND(C99&lt;&gt;"""", LEN(C99)&lt;3), LEN(C99)&gt;60, AND(D99&lt;&gt;"""", NOT(ISNUMBER(D99))), AND(ISNUMBER(D99), OR(D99&lt;0.01, D99&gt;999999999)), AND(COUNTA(D99:F99, H99:N99)&gt;0, C99=""""),                  
  AND(COUNTA(C99, H99:N99)&gt;0, D99=""""), LEN(H99)&gt;50, AND(I99&lt;"&amp;"&gt;"""", NOT(ISNUMBER(I99))), AND(ISNUMBER(I99), OR(I99&lt;0, I99&gt;99998)), AND(L99&lt;&gt;"""", NOT(REGEXMATCH(L99&amp;"""", ""^\d{8,14}$"")))), ""Erro"", """")"),"")</f>
      </c>
    </row>
    <row r="100" ht="22.5" customHeight="true">
      <c r="A100" s="33" t="s">
        <v>330</v>
      </c>
      <c r="B100" s="34" t="str">
        <f t="shared" si="1"/>
      </c>
      <c r="C100" s="35" t="s">
        <v>331</v>
      </c>
      <c r="D100" s="36">
        <v>2137</v>
      </c>
      <c r="E100" s="37" t="s">
        <v>41</v>
      </c>
      <c r="F100" s="38"/>
      <c r="G100" s="39" t="str">
        <f t="shared" si="2"/>
      </c>
      <c r="H100" s="40" t="s">
        <v>332</v>
      </c>
      <c r="I100" s="41"/>
      <c r="J100" s="41"/>
      <c r="K100" s="41" t="s">
        <v>43</v>
      </c>
      <c r="L100" s="42" t="s">
        <v>44</v>
      </c>
      <c r="M100" s="43" t="s">
        <v>45</v>
      </c>
      <c r="N100" s="44" t="s">
        <v>47</v>
      </c>
      <c r="O100" s="45" t="s">
        <v>46</v>
      </c>
      <c r="P100" s="46" t="str">
        <f>IFERROR(__xludf.DUMMYFUNCTION("IF(OR(AND(C100&lt;&gt;"""", LEN(C100)&lt;3), LEN(C100)&gt;60, AND(D100&lt;&gt;"""", NOT(ISNUMBER(D100))), AND(ISNUMBER(D100), OR(D100&lt;0.01, D100&gt;999999999)), AND(COUNTA(D100:F100, H100:N100)&gt;0, C100=""""),                  
  AND(COUNTA(C100, H100:N100)&gt;0, D100=""""), LEN("&amp;"H100)&gt;50, AND(I100&lt;&gt;"""", NOT(ISNUMBER(I100))), AND(ISNUMBER(I100), OR(I100&lt;0, I100&gt;99998)), AND(L100&lt;&gt;"""", NOT(REGEXMATCH(L100&amp;"""", ""^\d{8,14}$"")))), ""Erro"", """")"),"")</f>
      </c>
    </row>
    <row r="101" ht="22.5" customHeight="true">
      <c r="A101" s="33" t="s">
        <v>333</v>
      </c>
      <c r="B101" s="34" t="str">
        <f t="shared" si="1"/>
      </c>
      <c r="C101" s="35" t="s">
        <v>334</v>
      </c>
      <c r="D101" s="36">
        <v>345</v>
      </c>
      <c r="E101" s="37" t="s">
        <v>41</v>
      </c>
      <c r="F101" s="38"/>
      <c r="G101" s="39" t="str">
        <f t="shared" si="2"/>
      </c>
      <c r="H101" s="40" t="s">
        <v>334</v>
      </c>
      <c r="I101" s="41"/>
      <c r="J101" s="41"/>
      <c r="K101" s="41" t="s">
        <v>43</v>
      </c>
      <c r="L101" s="42" t="s">
        <v>44</v>
      </c>
      <c r="M101" s="43" t="s">
        <v>45</v>
      </c>
      <c r="N101" s="44" t="s">
        <v>47</v>
      </c>
      <c r="O101" s="45" t="s">
        <v>46</v>
      </c>
      <c r="P101" s="46" t="str">
        <f>IFERROR(__xludf.DUMMYFUNCTION("IF(OR(AND(C101&lt;&gt;"""", LEN(C101)&lt;3), LEN(C101)&gt;60, AND(D101&lt;&gt;"""", NOT(ISNUMBER(D101))), AND(ISNUMBER(D101), OR(D101&lt;0.01, D101&gt;999999999)), AND(COUNTA(D101:F101, H101:N101)&gt;0, C101=""""),                  
  AND(COUNTA(C101, H101:N101)&gt;0, D101=""""), LEN("&amp;"H101)&gt;50, AND(I101&lt;&gt;"""", NOT(ISNUMBER(I101))), AND(ISNUMBER(I101), OR(I101&lt;0, I101&gt;99998)), AND(L101&lt;&gt;"""", NOT(REGEXMATCH(L101&amp;"""", ""^\d{8,14}$"")))), ""Erro"", """")"),"")</f>
      </c>
    </row>
    <row r="102" ht="22.5" customHeight="true">
      <c r="A102" s="33" t="s">
        <v>335</v>
      </c>
      <c r="B102" s="34" t="str">
        <f t="shared" si="1"/>
      </c>
      <c r="C102" s="35" t="s">
        <v>336</v>
      </c>
      <c r="D102" s="36">
        <v>663</v>
      </c>
      <c r="E102" s="37" t="s">
        <v>41</v>
      </c>
      <c r="F102" s="38"/>
      <c r="G102" s="39" t="str">
        <f t="shared" si="2"/>
      </c>
      <c r="H102" s="40" t="s">
        <v>337</v>
      </c>
      <c r="I102" s="41"/>
      <c r="J102" s="41"/>
      <c r="K102" s="41" t="s">
        <v>43</v>
      </c>
      <c r="L102" s="42" t="s">
        <v>44</v>
      </c>
      <c r="M102" s="43" t="s">
        <v>45</v>
      </c>
      <c r="N102" s="44" t="s">
        <v>47</v>
      </c>
      <c r="O102" s="45" t="s">
        <v>46</v>
      </c>
      <c r="P102" s="46" t="str">
        <f>IFERROR(__xludf.DUMMYFUNCTION("IF(OR(AND(C102&lt;&gt;"""", LEN(C102)&lt;3), LEN(C102)&gt;60, AND(D102&lt;&gt;"""", NOT(ISNUMBER(D102))), AND(ISNUMBER(D102), OR(D102&lt;0.01, D102&gt;999999999)), AND(COUNTA(D102:F102, H102:N102)&gt;0, C102=""""),                  
  AND(COUNTA(C102, H102:N102)&gt;0, D102=""""), LEN("&amp;"H102)&gt;50, AND(I102&lt;&gt;"""", NOT(ISNUMBER(I102))), AND(ISNUMBER(I102), OR(I102&lt;0, I102&gt;99998)), AND(L102&lt;&gt;"""", NOT(REGEXMATCH(L102&amp;"""", ""^\d{8,14}$"")))), ""Erro"", """")"),"")</f>
      </c>
    </row>
    <row r="103" ht="22.5" customHeight="true">
      <c r="A103" s="33" t="s">
        <v>338</v>
      </c>
      <c r="B103" s="34" t="str">
        <f t="shared" si="1"/>
      </c>
      <c r="C103" s="35" t="s">
        <v>339</v>
      </c>
      <c r="D103" s="36">
        <v>216</v>
      </c>
      <c r="E103" s="37" t="s">
        <v>41</v>
      </c>
      <c r="F103" s="38"/>
      <c r="G103" s="39" t="str">
        <f t="shared" si="2"/>
      </c>
      <c r="H103" s="40" t="s">
        <v>340</v>
      </c>
      <c r="I103" s="41"/>
      <c r="J103" s="41"/>
      <c r="K103" s="41" t="s">
        <v>43</v>
      </c>
      <c r="L103" s="42" t="s">
        <v>44</v>
      </c>
      <c r="M103" s="43" t="s">
        <v>45</v>
      </c>
      <c r="N103" s="44" t="s">
        <v>47</v>
      </c>
      <c r="O103" s="45" t="s">
        <v>46</v>
      </c>
      <c r="P103" s="46" t="str">
        <f>IFERROR(__xludf.DUMMYFUNCTION("IF(OR(AND(C103&lt;&gt;"""", LEN(C103)&lt;3), LEN(C103)&gt;60, AND(D103&lt;&gt;"""", NOT(ISNUMBER(D103))), AND(ISNUMBER(D103), OR(D103&lt;0.01, D103&gt;999999999)), AND(COUNTA(D103:F103, H103:N103)&gt;0, C103=""""),                  
  AND(COUNTA(C103, H103:N103)&gt;0, D103=""""), LEN("&amp;"H103)&gt;50, AND(I103&lt;&gt;"""", NOT(ISNUMBER(I103))), AND(ISNUMBER(I103), OR(I103&lt;0, I103&gt;99998)), AND(L103&lt;&gt;"""", NOT(REGEXMATCH(L103&amp;"""", ""^\d{8,14}$"")))), ""Erro"", """")"),"")</f>
      </c>
    </row>
    <row r="104" ht="22.5" customHeight="true">
      <c r="A104" s="33" t="s">
        <v>341</v>
      </c>
      <c r="B104" s="34" t="str">
        <f t="shared" si="1"/>
      </c>
      <c r="C104" s="35" t="s">
        <v>342</v>
      </c>
      <c r="D104" s="36">
        <v>17331</v>
      </c>
      <c r="E104" s="37" t="s">
        <v>41</v>
      </c>
      <c r="F104" s="38"/>
      <c r="G104" s="39" t="str">
        <f t="shared" si="2"/>
      </c>
      <c r="H104" s="40" t="s">
        <v>343</v>
      </c>
      <c r="I104" s="41"/>
      <c r="J104" s="41"/>
      <c r="K104" s="41" t="s">
        <v>43</v>
      </c>
      <c r="L104" s="42" t="s">
        <v>44</v>
      </c>
      <c r="M104" s="43" t="s">
        <v>45</v>
      </c>
      <c r="N104" s="44" t="s">
        <v>47</v>
      </c>
      <c r="O104" s="45" t="s">
        <v>46</v>
      </c>
      <c r="P104" s="46" t="str">
        <f>IFERROR(__xludf.DUMMYFUNCTION("IF(OR(AND(C104&lt;&gt;"""", LEN(C104)&lt;3), LEN(C104)&gt;60, AND(D104&lt;&gt;"""", NOT(ISNUMBER(D104))), AND(ISNUMBER(D104), OR(D104&lt;0.01, D104&gt;999999999)), AND(COUNTA(D104:F104, H104:N104)&gt;0, C104=""""),                  
  AND(COUNTA(C104, H104:N104)&gt;0, D104=""""), LEN("&amp;"H104)&gt;50, AND(I104&lt;&gt;"""", NOT(ISNUMBER(I104))), AND(ISNUMBER(I104), OR(I104&lt;0, I104&gt;99998)), AND(L104&lt;&gt;"""", NOT(REGEXMATCH(L104&amp;"""", ""^\d{8,14}$"")))), ""Erro"", """")"),"")</f>
      </c>
    </row>
    <row r="105" ht="22.5" customHeight="true">
      <c r="A105" s="33" t="s">
        <v>344</v>
      </c>
      <c r="B105" s="34" t="str">
        <f t="shared" si="1"/>
      </c>
      <c r="C105" s="35" t="s">
        <v>345</v>
      </c>
      <c r="D105" s="36">
        <v>1935</v>
      </c>
      <c r="E105" s="37" t="s">
        <v>41</v>
      </c>
      <c r="F105" s="38"/>
      <c r="G105" s="39" t="str">
        <f t="shared" si="2"/>
      </c>
      <c r="H105" s="40" t="s">
        <v>346</v>
      </c>
      <c r="I105" s="41"/>
      <c r="J105" s="41"/>
      <c r="K105" s="41" t="s">
        <v>43</v>
      </c>
      <c r="L105" s="42" t="s">
        <v>44</v>
      </c>
      <c r="M105" s="43" t="s">
        <v>45</v>
      </c>
      <c r="N105" s="44" t="s">
        <v>47</v>
      </c>
      <c r="O105" s="45" t="s">
        <v>46</v>
      </c>
      <c r="P105" s="46" t="str">
        <f>IFERROR(__xludf.DUMMYFUNCTION("IF(OR(AND(C105&lt;&gt;"""", LEN(C105)&lt;3), LEN(C105)&gt;60, AND(D105&lt;&gt;"""", NOT(ISNUMBER(D105))), AND(ISNUMBER(D105), OR(D105&lt;0.01, D105&gt;999999999)), AND(COUNTA(D105:F105, H105:N105)&gt;0, C105=""""),                  
  AND(COUNTA(C105, H105:N105)&gt;0, D105=""""), LEN("&amp;"H105)&gt;50, AND(I105&lt;&gt;"""", NOT(ISNUMBER(I105))), AND(ISNUMBER(I105), OR(I105&lt;0, I105&gt;99998)), AND(L105&lt;&gt;"""", NOT(REGEXMATCH(L105&amp;"""", ""^\d{8,14}$"")))), ""Erro"", """")"),"")</f>
      </c>
    </row>
    <row r="106" ht="22.5" customHeight="true">
      <c r="A106" s="33" t="s">
        <v>347</v>
      </c>
      <c r="B106" s="34" t="str">
        <f t="shared" si="1"/>
      </c>
      <c r="C106" s="35" t="s">
        <v>348</v>
      </c>
      <c r="D106" s="36">
        <v>583</v>
      </c>
      <c r="E106" s="37" t="s">
        <v>41</v>
      </c>
      <c r="F106" s="38"/>
      <c r="G106" s="39" t="str">
        <f t="shared" si="2"/>
      </c>
      <c r="H106" s="40" t="s">
        <v>349</v>
      </c>
      <c r="I106" s="41"/>
      <c r="J106" s="41"/>
      <c r="K106" s="41" t="s">
        <v>43</v>
      </c>
      <c r="L106" s="42" t="s">
        <v>44</v>
      </c>
      <c r="M106" s="43" t="s">
        <v>45</v>
      </c>
      <c r="N106" s="44" t="s">
        <v>47</v>
      </c>
      <c r="O106" s="45" t="s">
        <v>46</v>
      </c>
      <c r="P106" s="46" t="str">
        <f>IFERROR(__xludf.DUMMYFUNCTION("IF(OR(AND(C106&lt;&gt;"""", LEN(C106)&lt;3), LEN(C106)&gt;60, AND(D106&lt;&gt;"""", NOT(ISNUMBER(D106))), AND(ISNUMBER(D106), OR(D106&lt;0.01, D106&gt;999999999)), AND(COUNTA(D106:F106, H106:N106)&gt;0, C106=""""),                  
  AND(COUNTA(C106, H106:N106)&gt;0, D106=""""), LEN("&amp;"H106)&gt;50, AND(I106&lt;&gt;"""", NOT(ISNUMBER(I106))), AND(ISNUMBER(I106), OR(I106&lt;0, I106&gt;99998)), AND(L106&lt;&gt;"""", NOT(REGEXMATCH(L106&amp;"""", ""^\d{8,14}$"")))), ""Erro"", """")"),"")</f>
      </c>
    </row>
    <row r="107" ht="22.5" customHeight="true">
      <c r="A107" s="33" t="s">
        <v>350</v>
      </c>
      <c r="B107" s="34" t="str">
        <f t="shared" si="1"/>
      </c>
      <c r="C107" s="35" t="s">
        <v>351</v>
      </c>
      <c r="D107" s="36">
        <v>5303</v>
      </c>
      <c r="E107" s="37" t="s">
        <v>41</v>
      </c>
      <c r="F107" s="38"/>
      <c r="G107" s="39" t="str">
        <f t="shared" si="2"/>
      </c>
      <c r="H107" s="40" t="s">
        <v>352</v>
      </c>
      <c r="I107" s="41"/>
      <c r="J107" s="41"/>
      <c r="K107" s="41" t="s">
        <v>43</v>
      </c>
      <c r="L107" s="42" t="s">
        <v>44</v>
      </c>
      <c r="M107" s="43" t="s">
        <v>45</v>
      </c>
      <c r="N107" s="44" t="s">
        <v>47</v>
      </c>
      <c r="O107" s="45" t="s">
        <v>46</v>
      </c>
      <c r="P107" s="46" t="str">
        <f>IFERROR(__xludf.DUMMYFUNCTION("IF(OR(AND(C107&lt;&gt;"""", LEN(C107)&lt;3), LEN(C107)&gt;60, AND(D107&lt;&gt;"""", NOT(ISNUMBER(D107))), AND(ISNUMBER(D107), OR(D107&lt;0.01, D107&gt;999999999)), AND(COUNTA(D107:F107, H107:N107)&gt;0, C107=""""),                  
  AND(COUNTA(C107, H107:N107)&gt;0, D107=""""), LEN("&amp;"H107)&gt;50, AND(I107&lt;&gt;"""", NOT(ISNUMBER(I107))), AND(ISNUMBER(I107), OR(I107&lt;0, I107&gt;99998)), AND(L107&lt;&gt;"""", NOT(REGEXMATCH(L107&amp;"""", ""^\d{8,14}$"")))), ""Erro"", """")"),"")</f>
      </c>
    </row>
    <row r="108" ht="22.5" customHeight="true">
      <c r="A108" s="33" t="s">
        <v>353</v>
      </c>
      <c r="B108" s="34" t="str">
        <f t="shared" si="1"/>
      </c>
      <c r="C108" s="35" t="s">
        <v>354</v>
      </c>
      <c r="D108" s="36">
        <v>3530</v>
      </c>
      <c r="E108" s="37" t="s">
        <v>41</v>
      </c>
      <c r="F108" s="38"/>
      <c r="G108" s="39" t="str">
        <f t="shared" si="2"/>
      </c>
      <c r="H108" s="40" t="s">
        <v>355</v>
      </c>
      <c r="I108" s="41"/>
      <c r="J108" s="41"/>
      <c r="K108" s="41" t="s">
        <v>43</v>
      </c>
      <c r="L108" s="42" t="s">
        <v>44</v>
      </c>
      <c r="M108" s="43" t="s">
        <v>45</v>
      </c>
      <c r="N108" s="44" t="s">
        <v>47</v>
      </c>
      <c r="O108" s="45" t="s">
        <v>46</v>
      </c>
      <c r="P108" s="46" t="str">
        <f>IFERROR(__xludf.DUMMYFUNCTION("IF(OR(AND(C108&lt;&gt;"""", LEN(C108)&lt;3), LEN(C108)&gt;60, AND(D108&lt;&gt;"""", NOT(ISNUMBER(D108))), AND(ISNUMBER(D108), OR(D108&lt;0.01, D108&gt;999999999)), AND(COUNTA(D108:F108, H108:N108)&gt;0, C108=""""),                  
  AND(COUNTA(C108, H108:N108)&gt;0, D108=""""), LEN("&amp;"H108)&gt;50, AND(I108&lt;&gt;"""", NOT(ISNUMBER(I108))), AND(ISNUMBER(I108), OR(I108&lt;0, I108&gt;99998)), AND(L108&lt;&gt;"""", NOT(REGEXMATCH(L108&amp;"""", ""^\d{8,14}$"")))), ""Erro"", """")"),"")</f>
      </c>
    </row>
    <row r="109" ht="22.5" customHeight="true">
      <c r="A109" s="33" t="s">
        <v>356</v>
      </c>
      <c r="B109" s="34" t="str">
        <f t="shared" si="1"/>
      </c>
      <c r="C109" s="35" t="s">
        <v>357</v>
      </c>
      <c r="D109" s="36">
        <v>1182</v>
      </c>
      <c r="E109" s="37" t="s">
        <v>41</v>
      </c>
      <c r="F109" s="38"/>
      <c r="G109" s="39" t="str">
        <f t="shared" si="2"/>
      </c>
      <c r="H109" s="40" t="s">
        <v>358</v>
      </c>
      <c r="I109" s="41"/>
      <c r="J109" s="41"/>
      <c r="K109" s="41" t="s">
        <v>43</v>
      </c>
      <c r="L109" s="42" t="s">
        <v>44</v>
      </c>
      <c r="M109" s="43" t="s">
        <v>45</v>
      </c>
      <c r="N109" s="44" t="s">
        <v>47</v>
      </c>
      <c r="O109" s="45" t="s">
        <v>46</v>
      </c>
      <c r="P109" s="46" t="str">
        <f>IFERROR(__xludf.DUMMYFUNCTION("IF(OR(AND(C109&lt;&gt;"""", LEN(C109)&lt;3), LEN(C109)&gt;60, AND(D109&lt;&gt;"""", NOT(ISNUMBER(D109))), AND(ISNUMBER(D109), OR(D109&lt;0.01, D109&gt;999999999)), AND(COUNTA(D109:F109, H109:N109)&gt;0, C109=""""),                  
  AND(COUNTA(C109, H109:N109)&gt;0, D109=""""), LEN("&amp;"H109)&gt;50, AND(I109&lt;&gt;"""", NOT(ISNUMBER(I109))), AND(ISNUMBER(I109), OR(I109&lt;0, I109&gt;99998)), AND(L109&lt;&gt;"""", NOT(REGEXMATCH(L109&amp;"""", ""^\d{8,14}$"")))), ""Erro"", """")"),"")</f>
      </c>
    </row>
    <row r="110" ht="22.5" customHeight="true">
      <c r="A110" s="33" t="s">
        <v>359</v>
      </c>
      <c r="B110" s="34" t="str">
        <f t="shared" si="1"/>
      </c>
      <c r="C110" s="35" t="s">
        <v>360</v>
      </c>
      <c r="D110" s="36">
        <v>254</v>
      </c>
      <c r="E110" s="37" t="s">
        <v>41</v>
      </c>
      <c r="F110" s="38"/>
      <c r="G110" s="39" t="str">
        <f t="shared" si="2"/>
      </c>
      <c r="H110" s="40" t="s">
        <v>361</v>
      </c>
      <c r="I110" s="41"/>
      <c r="J110" s="41"/>
      <c r="K110" s="41" t="s">
        <v>43</v>
      </c>
      <c r="L110" s="42" t="s">
        <v>44</v>
      </c>
      <c r="M110" s="43" t="s">
        <v>45</v>
      </c>
      <c r="N110" s="44" t="s">
        <v>47</v>
      </c>
      <c r="O110" s="45" t="s">
        <v>46</v>
      </c>
      <c r="P110" s="46" t="str">
        <f>IFERROR(__xludf.DUMMYFUNCTION("IF(OR(AND(C110&lt;&gt;"""", LEN(C110)&lt;3), LEN(C110)&gt;60, AND(D110&lt;&gt;"""", NOT(ISNUMBER(D110))), AND(ISNUMBER(D110), OR(D110&lt;0.01, D110&gt;999999999)), AND(COUNTA(D110:F110, H110:N110)&gt;0, C110=""""),                  
  AND(COUNTA(C110, H110:N110)&gt;0, D110=""""), LEN("&amp;"H110)&gt;50, AND(I110&lt;&gt;"""", NOT(ISNUMBER(I110))), AND(ISNUMBER(I110), OR(I110&lt;0, I110&gt;99998)), AND(L110&lt;&gt;"""", NOT(REGEXMATCH(L110&amp;"""", ""^\d{8,14}$"")))), ""Erro"", """")"),"")</f>
      </c>
    </row>
    <row r="111" ht="22.5" customHeight="true">
      <c r="A111" s="33" t="s">
        <v>362</v>
      </c>
      <c r="B111" s="34" t="str">
        <f t="shared" si="1"/>
      </c>
      <c r="C111" s="35" t="s">
        <v>363</v>
      </c>
      <c r="D111" s="36">
        <v>1500</v>
      </c>
      <c r="E111" s="37" t="s">
        <v>41</v>
      </c>
      <c r="F111" s="38"/>
      <c r="G111" s="39" t="str">
        <f t="shared" si="2"/>
      </c>
      <c r="H111" s="40" t="s">
        <v>364</v>
      </c>
      <c r="I111" s="41"/>
      <c r="J111" s="41"/>
      <c r="K111" s="41" t="s">
        <v>43</v>
      </c>
      <c r="L111" s="42" t="s">
        <v>44</v>
      </c>
      <c r="M111" s="43" t="s">
        <v>45</v>
      </c>
      <c r="N111" s="44" t="s">
        <v>47</v>
      </c>
      <c r="O111" s="45" t="s">
        <v>46</v>
      </c>
      <c r="P111" s="46" t="str">
        <f>IFERROR(__xludf.DUMMYFUNCTION("IF(OR(AND(C111&lt;&gt;"""", LEN(C111)&lt;3), LEN(C111)&gt;60, AND(D111&lt;&gt;"""", NOT(ISNUMBER(D111))), AND(ISNUMBER(D111), OR(D111&lt;0.01, D111&gt;999999999)), AND(COUNTA(D111:F111, H111:N111)&gt;0, C111=""""),                  
  AND(COUNTA(C111, H111:N111)&gt;0, D111=""""), LEN("&amp;"H111)&gt;50, AND(I111&lt;&gt;"""", NOT(ISNUMBER(I111))), AND(ISNUMBER(I111), OR(I111&lt;0, I111&gt;99998)), AND(L111&lt;&gt;"""", NOT(REGEXMATCH(L111&amp;"""", ""^\d{8,14}$"")))), ""Erro"", """")"),"")</f>
      </c>
    </row>
    <row r="112" ht="22.5" customHeight="true">
      <c r="A112" s="33" t="s">
        <v>365</v>
      </c>
      <c r="B112" s="34" t="str">
        <f t="shared" si="1"/>
      </c>
      <c r="C112" s="35" t="s">
        <v>366</v>
      </c>
      <c r="D112" s="36">
        <v>450</v>
      </c>
      <c r="E112" s="37" t="s">
        <v>41</v>
      </c>
      <c r="F112" s="38"/>
      <c r="G112" s="39" t="str">
        <f t="shared" si="2"/>
      </c>
      <c r="H112" s="40" t="s">
        <v>367</v>
      </c>
      <c r="I112" s="41"/>
      <c r="J112" s="41"/>
      <c r="K112" s="41" t="s">
        <v>80</v>
      </c>
      <c r="L112" s="42" t="s">
        <v>44</v>
      </c>
      <c r="M112" s="43" t="s">
        <v>45</v>
      </c>
      <c r="N112" s="44" t="s">
        <v>47</v>
      </c>
      <c r="O112" s="45" t="s">
        <v>46</v>
      </c>
      <c r="P112" s="46" t="str">
        <f>IFERROR(__xludf.DUMMYFUNCTION("IF(OR(AND(C112&lt;&gt;"""", LEN(C112)&lt;3), LEN(C112)&gt;60, AND(D112&lt;&gt;"""", NOT(ISNUMBER(D112))), AND(ISNUMBER(D112), OR(D112&lt;0.01, D112&gt;999999999)), AND(COUNTA(D112:F112, H112:N112)&gt;0, C112=""""),                  
  AND(COUNTA(C112, H112:N112)&gt;0, D112=""""), LEN("&amp;"H112)&gt;50, AND(I112&lt;&gt;"""", NOT(ISNUMBER(I112))), AND(ISNUMBER(I112), OR(I112&lt;0, I112&gt;99998)), AND(L112&lt;&gt;"""", NOT(REGEXMATCH(L112&amp;"""", ""^\d{8,14}$"")))), ""Erro"", """")"),"")</f>
      </c>
    </row>
    <row r="113" ht="22.5" customHeight="true">
      <c r="A113" s="33" t="s">
        <v>368</v>
      </c>
      <c r="B113" s="34" t="str">
        <f t="shared" si="1"/>
      </c>
      <c r="C113" s="35" t="s">
        <v>369</v>
      </c>
      <c r="D113" s="36">
        <v>6434</v>
      </c>
      <c r="E113" s="37" t="s">
        <v>41</v>
      </c>
      <c r="F113" s="38"/>
      <c r="G113" s="39" t="str">
        <f t="shared" si="2"/>
      </c>
      <c r="H113" s="40" t="s">
        <v>370</v>
      </c>
      <c r="I113" s="41"/>
      <c r="J113" s="41"/>
      <c r="K113" s="41" t="s">
        <v>43</v>
      </c>
      <c r="L113" s="42" t="s">
        <v>44</v>
      </c>
      <c r="M113" s="43" t="s">
        <v>45</v>
      </c>
      <c r="N113" s="44" t="s">
        <v>47</v>
      </c>
      <c r="O113" s="45" t="s">
        <v>46</v>
      </c>
      <c r="P113" s="46" t="str">
        <f>IFERROR(__xludf.DUMMYFUNCTION("IF(OR(AND(C113&lt;&gt;"""", LEN(C113)&lt;3), LEN(C113)&gt;60, AND(D113&lt;&gt;"""", NOT(ISNUMBER(D113))), AND(ISNUMBER(D113), OR(D113&lt;0.01, D113&gt;999999999)), AND(COUNTA(D113:F113, H113:N113)&gt;0, C113=""""),                  
  AND(COUNTA(C113, H113:N113)&gt;0, D113=""""), LEN("&amp;"H113)&gt;50, AND(I113&lt;&gt;"""", NOT(ISNUMBER(I113))), AND(ISNUMBER(I113), OR(I113&lt;0, I113&gt;99998)), AND(L113&lt;&gt;"""", NOT(REGEXMATCH(L113&amp;"""", ""^\d{8,14}$"")))), ""Erro"", """")"),"")</f>
      </c>
    </row>
    <row r="114" ht="22.5" customHeight="true">
      <c r="A114" s="33" t="s">
        <v>371</v>
      </c>
      <c r="B114" s="34" t="str">
        <f t="shared" si="1"/>
      </c>
      <c r="C114" s="35" t="s">
        <v>372</v>
      </c>
      <c r="D114" s="36">
        <v>800</v>
      </c>
      <c r="E114" s="37" t="s">
        <v>41</v>
      </c>
      <c r="F114" s="38"/>
      <c r="G114" s="39" t="str">
        <f t="shared" si="2"/>
      </c>
      <c r="H114" s="40" t="s">
        <v>373</v>
      </c>
      <c r="I114" s="41"/>
      <c r="J114" s="41"/>
      <c r="K114" s="41" t="s">
        <v>43</v>
      </c>
      <c r="L114" s="42" t="s">
        <v>44</v>
      </c>
      <c r="M114" s="43" t="s">
        <v>45</v>
      </c>
      <c r="N114" s="44" t="s">
        <v>47</v>
      </c>
      <c r="O114" s="45" t="s">
        <v>46</v>
      </c>
      <c r="P114" s="46" t="str">
        <f>IFERROR(__xludf.DUMMYFUNCTION("IF(OR(AND(C114&lt;&gt;"""", LEN(C114)&lt;3), LEN(C114)&gt;60, AND(D114&lt;&gt;"""", NOT(ISNUMBER(D114))), AND(ISNUMBER(D114), OR(D114&lt;0.01, D114&gt;999999999)), AND(COUNTA(D114:F114, H114:N114)&gt;0, C114=""""),                  
  AND(COUNTA(C114, H114:N114)&gt;0, D114=""""), LEN("&amp;"H114)&gt;50, AND(I114&lt;&gt;"""", NOT(ISNUMBER(I114))), AND(ISNUMBER(I114), OR(I114&lt;0, I114&gt;99998)), AND(L114&lt;&gt;"""", NOT(REGEXMATCH(L114&amp;"""", ""^\d{8,14}$"")))), ""Erro"", """")"),"")</f>
      </c>
    </row>
    <row r="115" ht="22.5" customHeight="true">
      <c r="A115" s="33" t="s">
        <v>374</v>
      </c>
      <c r="B115" s="34" t="str">
        <f t="shared" si="1"/>
      </c>
      <c r="C115" s="35" t="s">
        <v>375</v>
      </c>
      <c r="D115" s="36">
        <v>445</v>
      </c>
      <c r="E115" s="37" t="s">
        <v>41</v>
      </c>
      <c r="F115" s="38"/>
      <c r="G115" s="39" t="str">
        <f t="shared" si="2"/>
      </c>
      <c r="H115" s="40" t="s">
        <v>376</v>
      </c>
      <c r="I115" s="41"/>
      <c r="J115" s="41"/>
      <c r="K115" s="41" t="s">
        <v>43</v>
      </c>
      <c r="L115" s="42" t="s">
        <v>44</v>
      </c>
      <c r="M115" s="43" t="s">
        <v>45</v>
      </c>
      <c r="N115" s="44" t="s">
        <v>47</v>
      </c>
      <c r="O115" s="45" t="s">
        <v>46</v>
      </c>
      <c r="P115" s="46" t="str">
        <f>IFERROR(__xludf.DUMMYFUNCTION("IF(OR(AND(C115&lt;&gt;"""", LEN(C115)&lt;3), LEN(C115)&gt;60, AND(D115&lt;&gt;"""", NOT(ISNUMBER(D115))), AND(ISNUMBER(D115), OR(D115&lt;0.01, D115&gt;999999999)), AND(COUNTA(D115:F115, H115:N115)&gt;0, C115=""""),                  
  AND(COUNTA(C115, H115:N115)&gt;0, D115=""""), LEN("&amp;"H115)&gt;50, AND(I115&lt;&gt;"""", NOT(ISNUMBER(I115))), AND(ISNUMBER(I115), OR(I115&lt;0, I115&gt;99998)), AND(L115&lt;&gt;"""", NOT(REGEXMATCH(L115&amp;"""", ""^\d{8,14}$"")))), ""Erro"", """")"),"")</f>
      </c>
    </row>
    <row r="116" ht="22.5" customHeight="true">
      <c r="A116" s="33" t="s">
        <v>377</v>
      </c>
      <c r="B116" s="34" t="str">
        <f t="shared" si="1"/>
      </c>
      <c r="C116" s="35" t="s">
        <v>378</v>
      </c>
      <c r="D116" s="36">
        <v>614</v>
      </c>
      <c r="E116" s="37" t="s">
        <v>41</v>
      </c>
      <c r="F116" s="38"/>
      <c r="G116" s="39" t="str">
        <f t="shared" si="2"/>
      </c>
      <c r="H116" s="40" t="s">
        <v>379</v>
      </c>
      <c r="I116" s="41"/>
      <c r="J116" s="41"/>
      <c r="K116" s="41" t="s">
        <v>43</v>
      </c>
      <c r="L116" s="42" t="s">
        <v>44</v>
      </c>
      <c r="M116" s="43" t="s">
        <v>45</v>
      </c>
      <c r="N116" s="44" t="s">
        <v>47</v>
      </c>
      <c r="O116" s="45" t="s">
        <v>46</v>
      </c>
      <c r="P116" s="46" t="str">
        <f>IFERROR(__xludf.DUMMYFUNCTION("IF(OR(AND(C116&lt;&gt;"""", LEN(C116)&lt;3), LEN(C116)&gt;60, AND(D116&lt;&gt;"""", NOT(ISNUMBER(D116))), AND(ISNUMBER(D116), OR(D116&lt;0.01, D116&gt;999999999)), AND(COUNTA(D116:F116, H116:N116)&gt;0, C116=""""),                  
  AND(COUNTA(C116, H116:N116)&gt;0, D116=""""), LEN("&amp;"H116)&gt;50, AND(I116&lt;&gt;"""", NOT(ISNUMBER(I116))), AND(ISNUMBER(I116), OR(I116&lt;0, I116&gt;99998)), AND(L116&lt;&gt;"""", NOT(REGEXMATCH(L116&amp;"""", ""^\d{8,14}$"")))), ""Erro"", """")"),"")</f>
      </c>
    </row>
    <row r="117" ht="22.5" customHeight="true">
      <c r="A117" s="33" t="s">
        <v>380</v>
      </c>
      <c r="B117" s="34" t="str">
        <f t="shared" si="1"/>
      </c>
      <c r="C117" s="35" t="s">
        <v>381</v>
      </c>
      <c r="D117" s="36">
        <v>12600</v>
      </c>
      <c r="E117" s="37" t="s">
        <v>41</v>
      </c>
      <c r="F117" s="38"/>
      <c r="G117" s="39" t="str">
        <f t="shared" si="2"/>
      </c>
      <c r="H117" s="40" t="s">
        <v>382</v>
      </c>
      <c r="I117" s="41"/>
      <c r="J117" s="41"/>
      <c r="K117" s="41" t="s">
        <v>65</v>
      </c>
      <c r="L117" s="42" t="s">
        <v>44</v>
      </c>
      <c r="M117" s="43" t="s">
        <v>45</v>
      </c>
      <c r="N117" s="44" t="s">
        <v>47</v>
      </c>
      <c r="O117" s="45" t="s">
        <v>46</v>
      </c>
      <c r="P117" s="46" t="str">
        <f>IFERROR(__xludf.DUMMYFUNCTION("IF(OR(AND(C117&lt;&gt;"""", LEN(C117)&lt;3), LEN(C117)&gt;60, AND(D117&lt;&gt;"""", NOT(ISNUMBER(D117))), AND(ISNUMBER(D117), OR(D117&lt;0.01, D117&gt;999999999)), AND(COUNTA(D117:F117, H117:N117)&gt;0, C117=""""),                  
  AND(COUNTA(C117, H117:N117)&gt;0, D117=""""), LEN("&amp;"H117)&gt;50, AND(I117&lt;&gt;"""", NOT(ISNUMBER(I117))), AND(ISNUMBER(I117), OR(I117&lt;0, I117&gt;99998)), AND(L117&lt;&gt;"""", NOT(REGEXMATCH(L117&amp;"""", ""^\d{8,14}$"")))), ""Erro"", """")"),"")</f>
      </c>
    </row>
    <row r="118" ht="22.5" customHeight="true">
      <c r="A118" s="33" t="s">
        <v>383</v>
      </c>
      <c r="B118" s="34" t="str">
        <f t="shared" si="1"/>
      </c>
      <c r="C118" s="35" t="s">
        <v>384</v>
      </c>
      <c r="D118" s="36">
        <v>20250</v>
      </c>
      <c r="E118" s="37" t="s">
        <v>41</v>
      </c>
      <c r="F118" s="38"/>
      <c r="G118" s="39" t="str">
        <f t="shared" si="2"/>
      </c>
      <c r="H118" s="40" t="s">
        <v>385</v>
      </c>
      <c r="I118" s="41"/>
      <c r="J118" s="41"/>
      <c r="K118" s="41" t="s">
        <v>70</v>
      </c>
      <c r="L118" s="42" t="s">
        <v>44</v>
      </c>
      <c r="M118" s="43" t="s">
        <v>45</v>
      </c>
      <c r="N118" s="44" t="s">
        <v>47</v>
      </c>
      <c r="O118" s="45" t="s">
        <v>46</v>
      </c>
      <c r="P118" s="46" t="str">
        <f>IFERROR(__xludf.DUMMYFUNCTION("IF(OR(AND(C118&lt;&gt;"""", LEN(C118)&lt;3), LEN(C118)&gt;60, AND(D118&lt;&gt;"""", NOT(ISNUMBER(D118))), AND(ISNUMBER(D118), OR(D118&lt;0.01, D118&gt;999999999)), AND(COUNTA(D118:F118, H118:N118)&gt;0, C118=""""),                  
  AND(COUNTA(C118, H118:N118)&gt;0, D118=""""), LEN("&amp;"H118)&gt;50, AND(I118&lt;&gt;"""", NOT(ISNUMBER(I118))), AND(ISNUMBER(I118), OR(I118&lt;0, I118&gt;99998)), AND(L118&lt;&gt;"""", NOT(REGEXMATCH(L118&amp;"""", ""^\d{8,14}$"")))), ""Erro"", """")"),"")</f>
      </c>
    </row>
    <row r="119" ht="22.5" customHeight="true">
      <c r="A119" s="33" t="s">
        <v>386</v>
      </c>
      <c r="B119" s="34" t="str">
        <f t="shared" si="1"/>
      </c>
      <c r="C119" s="35" t="s">
        <v>387</v>
      </c>
      <c r="D119" s="36">
        <v>1897</v>
      </c>
      <c r="E119" s="37" t="s">
        <v>41</v>
      </c>
      <c r="F119" s="38"/>
      <c r="G119" s="39" t="str">
        <f t="shared" si="2"/>
      </c>
      <c r="H119" s="40" t="s">
        <v>388</v>
      </c>
      <c r="I119" s="41"/>
      <c r="J119" s="41"/>
      <c r="K119" s="41" t="s">
        <v>43</v>
      </c>
      <c r="L119" s="42" t="s">
        <v>44</v>
      </c>
      <c r="M119" s="43" t="s">
        <v>45</v>
      </c>
      <c r="N119" s="44" t="s">
        <v>47</v>
      </c>
      <c r="O119" s="45" t="s">
        <v>46</v>
      </c>
      <c r="P119" s="46" t="str">
        <f>IFERROR(__xludf.DUMMYFUNCTION("IF(OR(AND(C119&lt;&gt;"""", LEN(C119)&lt;3), LEN(C119)&gt;60, AND(D119&lt;&gt;"""", NOT(ISNUMBER(D119))), AND(ISNUMBER(D119), OR(D119&lt;0.01, D119&gt;999999999)), AND(COUNTA(D119:F119, H119:N119)&gt;0, C119=""""),                  
  AND(COUNTA(C119, H119:N119)&gt;0, D119=""""), LEN("&amp;"H119)&gt;50, AND(I119&lt;&gt;"""", NOT(ISNUMBER(I119))), AND(ISNUMBER(I119), OR(I119&lt;0, I119&gt;99998)), AND(L119&lt;&gt;"""", NOT(REGEXMATCH(L119&amp;"""", ""^\d{8,14}$"")))), ""Erro"", """")"),"")</f>
      </c>
    </row>
    <row r="120" ht="22.5" customHeight="true">
      <c r="A120" s="33" t="s">
        <v>389</v>
      </c>
      <c r="B120" s="34" t="str">
        <f t="shared" si="1"/>
      </c>
      <c r="C120" s="35" t="s">
        <v>390</v>
      </c>
      <c r="D120" s="36">
        <v>567</v>
      </c>
      <c r="E120" s="37" t="s">
        <v>41</v>
      </c>
      <c r="F120" s="38"/>
      <c r="G120" s="39" t="str">
        <f t="shared" si="2"/>
      </c>
      <c r="H120" s="40" t="s">
        <v>391</v>
      </c>
      <c r="I120" s="41"/>
      <c r="J120" s="41"/>
      <c r="K120" s="41" t="s">
        <v>43</v>
      </c>
      <c r="L120" s="42" t="s">
        <v>44</v>
      </c>
      <c r="M120" s="43" t="s">
        <v>45</v>
      </c>
      <c r="N120" s="44" t="s">
        <v>47</v>
      </c>
      <c r="O120" s="45" t="s">
        <v>46</v>
      </c>
      <c r="P120" s="46" t="str">
        <f>IFERROR(__xludf.DUMMYFUNCTION("IF(OR(AND(C120&lt;&gt;"""", LEN(C120)&lt;3), LEN(C120)&gt;60, AND(D120&lt;&gt;"""", NOT(ISNUMBER(D120))), AND(ISNUMBER(D120), OR(D120&lt;0.01, D120&gt;999999999)), AND(COUNTA(D120:F120, H120:N120)&gt;0, C120=""""),                  
  AND(COUNTA(C120, H120:N120)&gt;0, D120=""""), LEN("&amp;"H120)&gt;50, AND(I120&lt;&gt;"""", NOT(ISNUMBER(I120))), AND(ISNUMBER(I120), OR(I120&lt;0, I120&gt;99998)), AND(L120&lt;&gt;"""", NOT(REGEXMATCH(L120&amp;"""", ""^\d{8,14}$"")))), ""Erro"", """")"),"")</f>
      </c>
    </row>
    <row r="121" ht="22.5" customHeight="true">
      <c r="A121" s="33" t="s">
        <v>392</v>
      </c>
      <c r="B121" s="34" t="str">
        <f t="shared" si="1"/>
      </c>
      <c r="C121" s="35" t="s">
        <v>393</v>
      </c>
      <c r="D121" s="36">
        <v>23100</v>
      </c>
      <c r="E121" s="37" t="s">
        <v>41</v>
      </c>
      <c r="F121" s="38"/>
      <c r="G121" s="39" t="str">
        <f t="shared" si="2"/>
      </c>
      <c r="H121" s="40" t="s">
        <v>394</v>
      </c>
      <c r="I121" s="41"/>
      <c r="J121" s="41"/>
      <c r="K121" s="41" t="s">
        <v>65</v>
      </c>
      <c r="L121" s="42" t="s">
        <v>44</v>
      </c>
      <c r="M121" s="43" t="s">
        <v>45</v>
      </c>
      <c r="N121" s="44" t="s">
        <v>47</v>
      </c>
      <c r="O121" s="45" t="s">
        <v>46</v>
      </c>
      <c r="P121" s="46" t="str">
        <f>IFERROR(__xludf.DUMMYFUNCTION("IF(OR(AND(C121&lt;&gt;"""", LEN(C121)&lt;3), LEN(C121)&gt;60, AND(D121&lt;&gt;"""", NOT(ISNUMBER(D121))), AND(ISNUMBER(D121), OR(D121&lt;0.01, D121&gt;999999999)), AND(COUNTA(D121:F121, H121:N121)&gt;0, C121=""""),                  
  AND(COUNTA(C121, H121:N121)&gt;0, D121=""""), LEN("&amp;"H121)&gt;50, AND(I121&lt;&gt;"""", NOT(ISNUMBER(I121))), AND(ISNUMBER(I121), OR(I121&lt;0, I121&gt;99998)), AND(L121&lt;&gt;"""", NOT(REGEXMATCH(L121&amp;"""", ""^\d{8,14}$"")))), ""Erro"", """")"),"")</f>
      </c>
    </row>
    <row r="122" ht="22.5" customHeight="true">
      <c r="A122" s="33" t="s">
        <v>395</v>
      </c>
      <c r="B122" s="34" t="str">
        <f t="shared" si="1"/>
      </c>
      <c r="C122" s="35" t="s">
        <v>396</v>
      </c>
      <c r="D122" s="36">
        <v>265</v>
      </c>
      <c r="E122" s="37" t="s">
        <v>41</v>
      </c>
      <c r="F122" s="38"/>
      <c r="G122" s="39" t="str">
        <f t="shared" si="2"/>
      </c>
      <c r="H122" s="40" t="s">
        <v>397</v>
      </c>
      <c r="I122" s="41"/>
      <c r="J122" s="41"/>
      <c r="K122" s="41" t="s">
        <v>43</v>
      </c>
      <c r="L122" s="42" t="s">
        <v>44</v>
      </c>
      <c r="M122" s="43" t="s">
        <v>45</v>
      </c>
      <c r="N122" s="44" t="s">
        <v>47</v>
      </c>
      <c r="O122" s="45" t="s">
        <v>46</v>
      </c>
      <c r="P122" s="46" t="str">
        <f>IFERROR(__xludf.DUMMYFUNCTION("IF(OR(AND(C122&lt;&gt;"""", LEN(C122)&lt;3), LEN(C122)&gt;60, AND(D122&lt;&gt;"""", NOT(ISNUMBER(D122))), AND(ISNUMBER(D122), OR(D122&lt;0.01, D122&gt;999999999)), AND(COUNTA(D122:F122, H122:N122)&gt;0, C122=""""),                  
  AND(COUNTA(C122, H122:N122)&gt;0, D122=""""), LEN("&amp;"H122)&gt;50, AND(I122&lt;&gt;"""", NOT(ISNUMBER(I122))), AND(ISNUMBER(I122), OR(I122&lt;0, I122&gt;99998)), AND(L122&lt;&gt;"""", NOT(REGEXMATCH(L122&amp;"""", ""^\d{8,14}$"")))), ""Erro"", """")"),"")</f>
      </c>
    </row>
    <row r="123" ht="22.5" customHeight="true">
      <c r="A123" s="33" t="s">
        <v>398</v>
      </c>
      <c r="B123" s="34" t="str">
        <f t="shared" si="1"/>
      </c>
      <c r="C123" s="35" t="s">
        <v>399</v>
      </c>
      <c r="D123" s="36">
        <v>445</v>
      </c>
      <c r="E123" s="37" t="s">
        <v>41</v>
      </c>
      <c r="F123" s="38"/>
      <c r="G123" s="39" t="str">
        <f t="shared" si="2"/>
      </c>
      <c r="H123" s="40" t="s">
        <v>400</v>
      </c>
      <c r="I123" s="41"/>
      <c r="J123" s="41"/>
      <c r="K123" s="41" t="s">
        <v>43</v>
      </c>
      <c r="L123" s="42" t="s">
        <v>44</v>
      </c>
      <c r="M123" s="43" t="s">
        <v>45</v>
      </c>
      <c r="N123" s="44" t="s">
        <v>47</v>
      </c>
      <c r="O123" s="45" t="s">
        <v>46</v>
      </c>
      <c r="P123" s="46" t="str">
        <f>IFERROR(__xludf.DUMMYFUNCTION("IF(OR(AND(C123&lt;&gt;"""", LEN(C123)&lt;3), LEN(C123)&gt;60, AND(D123&lt;&gt;"""", NOT(ISNUMBER(D123))), AND(ISNUMBER(D123), OR(D123&lt;0.01, D123&gt;999999999)), AND(COUNTA(D123:F123, H123:N123)&gt;0, C123=""""),                  
  AND(COUNTA(C123, H123:N123)&gt;0, D123=""""), LEN("&amp;"H123)&gt;50, AND(I123&lt;&gt;"""", NOT(ISNUMBER(I123))), AND(ISNUMBER(I123), OR(I123&lt;0, I123&gt;99998)), AND(L123&lt;&gt;"""", NOT(REGEXMATCH(L123&amp;"""", ""^\d{8,14}$"")))), ""Erro"", """")"),"")</f>
      </c>
    </row>
    <row r="124" ht="22.5" customHeight="true">
      <c r="A124" s="33" t="s">
        <v>401</v>
      </c>
      <c r="B124" s="34" t="str">
        <f t="shared" si="1"/>
      </c>
      <c r="C124" s="35" t="s">
        <v>402</v>
      </c>
      <c r="D124" s="36">
        <v>1081</v>
      </c>
      <c r="E124" s="37" t="s">
        <v>41</v>
      </c>
      <c r="F124" s="38"/>
      <c r="G124" s="39" t="str">
        <f t="shared" si="2"/>
      </c>
      <c r="H124" s="40" t="s">
        <v>403</v>
      </c>
      <c r="I124" s="41"/>
      <c r="J124" s="41"/>
      <c r="K124" s="41" t="s">
        <v>43</v>
      </c>
      <c r="L124" s="42" t="s">
        <v>44</v>
      </c>
      <c r="M124" s="43" t="s">
        <v>45</v>
      </c>
      <c r="N124" s="44" t="s">
        <v>47</v>
      </c>
      <c r="O124" s="45" t="s">
        <v>46</v>
      </c>
      <c r="P124" s="46" t="str">
        <f>IFERROR(__xludf.DUMMYFUNCTION("IF(OR(AND(C124&lt;&gt;"""", LEN(C124)&lt;3), LEN(C124)&gt;60, AND(D124&lt;&gt;"""", NOT(ISNUMBER(D124))), AND(ISNUMBER(D124), OR(D124&lt;0.01, D124&gt;999999999)), AND(COUNTA(D124:F124, H124:N124)&gt;0, C124=""""),                  
  AND(COUNTA(C124, H124:N124)&gt;0, D124=""""), LEN("&amp;"H124)&gt;50, AND(I124&lt;&gt;"""", NOT(ISNUMBER(I124))), AND(ISNUMBER(I124), OR(I124&lt;0, I124&gt;99998)), AND(L124&lt;&gt;"""", NOT(REGEXMATCH(L124&amp;"""", ""^\d{8,14}$"")))), ""Erro"", """")"),"")</f>
      </c>
    </row>
    <row r="125" ht="22.5" customHeight="true">
      <c r="A125" s="33" t="s">
        <v>404</v>
      </c>
      <c r="B125" s="34" t="str">
        <f t="shared" si="1"/>
      </c>
      <c r="C125" s="35" t="s">
        <v>405</v>
      </c>
      <c r="D125" s="36">
        <v>1400</v>
      </c>
      <c r="E125" s="37" t="s">
        <v>41</v>
      </c>
      <c r="F125" s="38"/>
      <c r="G125" s="39" t="str">
        <f t="shared" si="2"/>
      </c>
      <c r="H125" s="40" t="s">
        <v>406</v>
      </c>
      <c r="I125" s="41"/>
      <c r="J125" s="41"/>
      <c r="K125" s="41" t="s">
        <v>54</v>
      </c>
      <c r="L125" s="42" t="s">
        <v>44</v>
      </c>
      <c r="M125" s="43" t="s">
        <v>45</v>
      </c>
      <c r="N125" s="44" t="s">
        <v>47</v>
      </c>
      <c r="O125" s="45" t="s">
        <v>407</v>
      </c>
      <c r="P125" s="46" t="str">
        <f>IFERROR(__xludf.DUMMYFUNCTION("IF(OR(AND(C125&lt;&gt;"""", LEN(C125)&lt;3), LEN(C125)&gt;60, AND(D125&lt;&gt;"""", NOT(ISNUMBER(D125))), AND(ISNUMBER(D125), OR(D125&lt;0.01, D125&gt;999999999)), AND(COUNTA(D125:F125, H125:N125)&gt;0, C125=""""),                  
  AND(COUNTA(C125, H125:N125)&gt;0, D125=""""), LEN("&amp;"H125)&gt;50, AND(I125&lt;&gt;"""", NOT(ISNUMBER(I125))), AND(ISNUMBER(I125), OR(I125&lt;0, I125&gt;99998)), AND(L125&lt;&gt;"""", NOT(REGEXMATCH(L125&amp;"""", ""^\d{8,14}$"")))), ""Erro"", """")"),"")</f>
      </c>
    </row>
    <row r="126" ht="22.5" customHeight="true">
      <c r="A126" s="33" t="s">
        <v>408</v>
      </c>
      <c r="B126" s="34" t="str">
        <f t="shared" si="1"/>
      </c>
      <c r="C126" s="35" t="s">
        <v>409</v>
      </c>
      <c r="D126" s="36">
        <v>4725</v>
      </c>
      <c r="E126" s="37" t="s">
        <v>41</v>
      </c>
      <c r="F126" s="38"/>
      <c r="G126" s="39" t="str">
        <f t="shared" si="2"/>
      </c>
      <c r="H126" s="40" t="s">
        <v>409</v>
      </c>
      <c r="I126" s="41"/>
      <c r="J126" s="41"/>
      <c r="K126" s="41" t="s">
        <v>174</v>
      </c>
      <c r="L126" s="42" t="s">
        <v>44</v>
      </c>
      <c r="M126" s="43" t="s">
        <v>45</v>
      </c>
      <c r="N126" s="44" t="s">
        <v>47</v>
      </c>
      <c r="O126" s="45" t="s">
        <v>58</v>
      </c>
      <c r="P126" s="46" t="str">
        <f>IFERROR(__xludf.DUMMYFUNCTION("IF(OR(AND(C126&lt;&gt;"""", LEN(C126)&lt;3), LEN(C126)&gt;60, AND(D126&lt;&gt;"""", NOT(ISNUMBER(D126))), AND(ISNUMBER(D126), OR(D126&lt;0.01, D126&gt;999999999)), AND(COUNTA(D126:F126, H126:N126)&gt;0, C126=""""),                  
  AND(COUNTA(C126, H126:N126)&gt;0, D126=""""), LEN("&amp;"H126)&gt;50, AND(I126&lt;&gt;"""", NOT(ISNUMBER(I126))), AND(ISNUMBER(I126), OR(I126&lt;0, I126&gt;99998)), AND(L126&lt;&gt;"""", NOT(REGEXMATCH(L126&amp;"""", ""^\d{8,14}$"")))), ""Erro"", """")"),"")</f>
      </c>
    </row>
    <row r="127" ht="22.5" customHeight="true">
      <c r="A127" s="33" t="s">
        <v>410</v>
      </c>
      <c r="B127" s="34" t="str">
        <f t="shared" si="1"/>
      </c>
      <c r="C127" s="35" t="s">
        <v>411</v>
      </c>
      <c r="D127" s="36">
        <v>1060</v>
      </c>
      <c r="E127" s="37" t="s">
        <v>41</v>
      </c>
      <c r="F127" s="38"/>
      <c r="G127" s="39" t="str">
        <f t="shared" si="2"/>
      </c>
      <c r="H127" s="40" t="s">
        <v>412</v>
      </c>
      <c r="I127" s="41"/>
      <c r="J127" s="41"/>
      <c r="K127" s="41" t="s">
        <v>43</v>
      </c>
      <c r="L127" s="42" t="s">
        <v>44</v>
      </c>
      <c r="M127" s="43" t="s">
        <v>45</v>
      </c>
      <c r="N127" s="44" t="s">
        <v>47</v>
      </c>
      <c r="O127" s="45" t="s">
        <v>46</v>
      </c>
      <c r="P127" s="46" t="str">
        <f>IFERROR(__xludf.DUMMYFUNCTION("IF(OR(AND(C127&lt;&gt;"""", LEN(C127)&lt;3), LEN(C127)&gt;60, AND(D127&lt;&gt;"""", NOT(ISNUMBER(D127))), AND(ISNUMBER(D127), OR(D127&lt;0.01, D127&gt;999999999)), AND(COUNTA(D127:F127, H127:N127)&gt;0, C127=""""),                  
  AND(COUNTA(C127, H127:N127)&gt;0, D127=""""), LEN("&amp;"H127)&gt;50, AND(I127&lt;&gt;"""", NOT(ISNUMBER(I127))), AND(ISNUMBER(I127), OR(I127&lt;0, I127&gt;99998)), AND(L127&lt;&gt;"""", NOT(REGEXMATCH(L127&amp;"""", ""^\d{8,14}$"")))), ""Erro"", """")"),"")</f>
      </c>
    </row>
    <row r="128" ht="22.5" customHeight="true">
      <c r="A128" s="33" t="s">
        <v>413</v>
      </c>
      <c r="B128" s="34" t="str">
        <f t="shared" si="1"/>
      </c>
      <c r="C128" s="35" t="s">
        <v>414</v>
      </c>
      <c r="D128" s="36">
        <v>864</v>
      </c>
      <c r="E128" s="37" t="s">
        <v>41</v>
      </c>
      <c r="F128" s="38"/>
      <c r="G128" s="39" t="str">
        <f t="shared" si="2"/>
      </c>
      <c r="H128" s="40" t="s">
        <v>414</v>
      </c>
      <c r="I128" s="41"/>
      <c r="J128" s="41"/>
      <c r="K128" s="41" t="s">
        <v>43</v>
      </c>
      <c r="L128" s="42" t="s">
        <v>44</v>
      </c>
      <c r="M128" s="43" t="s">
        <v>45</v>
      </c>
      <c r="N128" s="44" t="s">
        <v>47</v>
      </c>
      <c r="O128" s="45" t="s">
        <v>46</v>
      </c>
      <c r="P128" s="46" t="str">
        <f>IFERROR(__xludf.DUMMYFUNCTION("IF(OR(AND(C128&lt;&gt;"""", LEN(C128)&lt;3), LEN(C128)&gt;60, AND(D128&lt;&gt;"""", NOT(ISNUMBER(D128))), AND(ISNUMBER(D128), OR(D128&lt;0.01, D128&gt;999999999)), AND(COUNTA(D128:F128, H128:N128)&gt;0, C128=""""),                  
  AND(COUNTA(C128, H128:N128)&gt;0, D128=""""), LEN("&amp;"H128)&gt;50, AND(I128&lt;&gt;"""", NOT(ISNUMBER(I128))), AND(ISNUMBER(I128), OR(I128&lt;0, I128&gt;99998)), AND(L128&lt;&gt;"""", NOT(REGEXMATCH(L128&amp;"""", ""^\d{8,14}$"")))), ""Erro"", """")"),"")</f>
      </c>
    </row>
    <row r="129" ht="22.5" customHeight="true">
      <c r="A129" s="33" t="s">
        <v>415</v>
      </c>
      <c r="B129" s="34" t="str">
        <f t="shared" si="1"/>
      </c>
      <c r="C129" s="35" t="s">
        <v>416</v>
      </c>
      <c r="D129" s="36">
        <v>1871</v>
      </c>
      <c r="E129" s="37" t="s">
        <v>41</v>
      </c>
      <c r="F129" s="38"/>
      <c r="G129" s="39" t="str">
        <f t="shared" si="2"/>
      </c>
      <c r="H129" s="40" t="s">
        <v>417</v>
      </c>
      <c r="I129" s="41"/>
      <c r="J129" s="41"/>
      <c r="K129" s="41" t="s">
        <v>43</v>
      </c>
      <c r="L129" s="42" t="s">
        <v>44</v>
      </c>
      <c r="M129" s="43" t="s">
        <v>45</v>
      </c>
      <c r="N129" s="44" t="s">
        <v>47</v>
      </c>
      <c r="O129" s="45" t="s">
        <v>46</v>
      </c>
      <c r="P129" s="46" t="str">
        <f>IFERROR(__xludf.DUMMYFUNCTION("IF(OR(AND(C129&lt;&gt;"""", LEN(C129)&lt;3), LEN(C129)&gt;60, AND(D129&lt;&gt;"""", NOT(ISNUMBER(D129))), AND(ISNUMBER(D129), OR(D129&lt;0.01, D129&gt;999999999)), AND(COUNTA(D129:F129, H129:N129)&gt;0, C129=""""),                  
  AND(COUNTA(C129, H129:N129)&gt;0, D129=""""), LEN("&amp;"H129)&gt;50, AND(I129&lt;&gt;"""", NOT(ISNUMBER(I129))), AND(ISNUMBER(I129), OR(I129&lt;0, I129&gt;99998)), AND(L129&lt;&gt;"""", NOT(REGEXMATCH(L129&amp;"""", ""^\d{8,14}$"")))), ""Erro"", """")"),"")</f>
      </c>
    </row>
    <row r="130" ht="22.5" customHeight="true">
      <c r="A130" s="33" t="s">
        <v>418</v>
      </c>
      <c r="B130" s="34" t="str">
        <f t="shared" si="1"/>
      </c>
      <c r="C130" s="35" t="s">
        <v>419</v>
      </c>
      <c r="D130" s="36">
        <v>530</v>
      </c>
      <c r="E130" s="37" t="s">
        <v>41</v>
      </c>
      <c r="F130" s="38"/>
      <c r="G130" s="39" t="str">
        <f t="shared" si="2"/>
      </c>
      <c r="H130" s="40" t="s">
        <v>420</v>
      </c>
      <c r="I130" s="41"/>
      <c r="J130" s="41"/>
      <c r="K130" s="41" t="s">
        <v>43</v>
      </c>
      <c r="L130" s="42" t="s">
        <v>44</v>
      </c>
      <c r="M130" s="43" t="s">
        <v>45</v>
      </c>
      <c r="N130" s="44" t="s">
        <v>47</v>
      </c>
      <c r="O130" s="45" t="s">
        <v>46</v>
      </c>
      <c r="P130" s="46" t="str">
        <f>IFERROR(__xludf.DUMMYFUNCTION("IF(OR(AND(C130&lt;&gt;"""", LEN(C130)&lt;3), LEN(C130)&gt;60, AND(D130&lt;&gt;"""", NOT(ISNUMBER(D130))), AND(ISNUMBER(D130), OR(D130&lt;0.01, D130&gt;999999999)), AND(COUNTA(D130:F130, H130:N130)&gt;0, C130=""""),                  
  AND(COUNTA(C130, H130:N130)&gt;0, D130=""""), LEN("&amp;"H130)&gt;50, AND(I130&lt;&gt;"""", NOT(ISNUMBER(I130))), AND(ISNUMBER(I130), OR(I130&lt;0, I130&gt;99998)), AND(L130&lt;&gt;"""", NOT(REGEXMATCH(L130&amp;"""", ""^\d{8,14}$"")))), ""Erro"", """")"),"")</f>
      </c>
    </row>
    <row r="131" ht="22.5" customHeight="true">
      <c r="A131" s="33" t="s">
        <v>421</v>
      </c>
      <c r="B131" s="34" t="str">
        <f t="shared" si="1"/>
      </c>
      <c r="C131" s="35" t="s">
        <v>422</v>
      </c>
      <c r="D131" s="36">
        <v>1367</v>
      </c>
      <c r="E131" s="37" t="s">
        <v>41</v>
      </c>
      <c r="F131" s="38"/>
      <c r="G131" s="39" t="str">
        <f t="shared" si="2"/>
      </c>
      <c r="H131" s="40" t="s">
        <v>423</v>
      </c>
      <c r="I131" s="41"/>
      <c r="J131" s="41"/>
      <c r="K131" s="41" t="s">
        <v>43</v>
      </c>
      <c r="L131" s="42" t="s">
        <v>44</v>
      </c>
      <c r="M131" s="43" t="s">
        <v>45</v>
      </c>
      <c r="N131" s="44" t="s">
        <v>47</v>
      </c>
      <c r="O131" s="45" t="s">
        <v>46</v>
      </c>
      <c r="P131" s="46" t="str">
        <f>IFERROR(__xludf.DUMMYFUNCTION("IF(OR(AND(C131&lt;&gt;"""", LEN(C131)&lt;3), LEN(C131)&gt;60, AND(D131&lt;&gt;"""", NOT(ISNUMBER(D131))), AND(ISNUMBER(D131), OR(D131&lt;0.01, D131&gt;999999999)), AND(COUNTA(D131:F131, H131:N131)&gt;0, C131=""""),                  
  AND(COUNTA(C131, H131:N131)&gt;0, D131=""""), LEN("&amp;"H131)&gt;50, AND(I131&lt;&gt;"""", NOT(ISNUMBER(I131))), AND(ISNUMBER(I131), OR(I131&lt;0, I131&gt;99998)), AND(L131&lt;&gt;"""", NOT(REGEXMATCH(L131&amp;"""", ""^\d{8,14}$"")))), ""Erro"", """")"),"")</f>
      </c>
    </row>
    <row r="132" ht="22.5" customHeight="true">
      <c r="A132" s="33" t="s">
        <v>424</v>
      </c>
      <c r="B132" s="34" t="str">
        <f t="shared" si="1"/>
      </c>
      <c r="C132" s="35" t="s">
        <v>425</v>
      </c>
      <c r="D132" s="36">
        <v>6100</v>
      </c>
      <c r="E132" s="37" t="s">
        <v>41</v>
      </c>
      <c r="F132" s="38"/>
      <c r="G132" s="39" t="str">
        <f t="shared" si="2"/>
      </c>
      <c r="H132" s="40" t="s">
        <v>426</v>
      </c>
      <c r="I132" s="41"/>
      <c r="J132" s="41"/>
      <c r="K132" s="41" t="s">
        <v>43</v>
      </c>
      <c r="L132" s="42" t="s">
        <v>44</v>
      </c>
      <c r="M132" s="43" t="s">
        <v>45</v>
      </c>
      <c r="N132" s="44" t="s">
        <v>47</v>
      </c>
      <c r="O132" s="45" t="s">
        <v>46</v>
      </c>
      <c r="P132" s="46" t="str">
        <f>IFERROR(__xludf.DUMMYFUNCTION("IF(OR(AND(C132&lt;&gt;"""", LEN(C132)&lt;3), LEN(C132)&gt;60, AND(D132&lt;&gt;"""", NOT(ISNUMBER(D132))), AND(ISNUMBER(D132), OR(D132&lt;0.01, D132&gt;999999999)), AND(COUNTA(D132:F132, H132:N132)&gt;0, C132=""""),                  
  AND(COUNTA(C132, H132:N132)&gt;0, D132=""""), LEN("&amp;"H132)&gt;50, AND(I132&lt;&gt;"""", NOT(ISNUMBER(I132))), AND(ISNUMBER(I132), OR(I132&lt;0, I132&gt;99998)), AND(L132&lt;&gt;"""", NOT(REGEXMATCH(L132&amp;"""", ""^\d{8,14}$"")))), ""Erro"", """")"),"")</f>
      </c>
    </row>
    <row r="133" ht="22.5" customHeight="true">
      <c r="A133" s="33" t="s">
        <v>427</v>
      </c>
      <c r="B133" s="34" t="str">
        <f t="shared" si="1"/>
      </c>
      <c r="C133" s="35" t="s">
        <v>428</v>
      </c>
      <c r="D133" s="36">
        <v>78200</v>
      </c>
      <c r="E133" s="37" t="s">
        <v>41</v>
      </c>
      <c r="F133" s="38"/>
      <c r="G133" s="39" t="str">
        <f t="shared" si="2"/>
      </c>
      <c r="H133" s="40" t="s">
        <v>429</v>
      </c>
      <c r="I133" s="41"/>
      <c r="J133" s="41"/>
      <c r="K133" s="41" t="s">
        <v>65</v>
      </c>
      <c r="L133" s="42" t="s">
        <v>44</v>
      </c>
      <c r="M133" s="43" t="s">
        <v>45</v>
      </c>
      <c r="N133" s="44" t="s">
        <v>47</v>
      </c>
      <c r="O133" s="45" t="s">
        <v>46</v>
      </c>
      <c r="P133" s="46" t="str">
        <f>IFERROR(__xludf.DUMMYFUNCTION("IF(OR(AND(C133&lt;&gt;"""", LEN(C133)&lt;3), LEN(C133)&gt;60, AND(D133&lt;&gt;"""", NOT(ISNUMBER(D133))), AND(ISNUMBER(D133), OR(D133&lt;0.01, D133&gt;999999999)), AND(COUNTA(D133:F133, H133:N133)&gt;0, C133=""""),                  
  AND(COUNTA(C133, H133:N133)&gt;0, D133=""""), LEN("&amp;"H133)&gt;50, AND(I133&lt;&gt;"""", NOT(ISNUMBER(I133))), AND(ISNUMBER(I133), OR(I133&lt;0, I133&gt;99998)), AND(L133&lt;&gt;"""", NOT(REGEXMATCH(L133&amp;"""", ""^\d{8,14}$"")))), ""Erro"", """")"),"")</f>
      </c>
    </row>
    <row r="134" ht="22.5" customHeight="true">
      <c r="A134" s="33" t="s">
        <v>430</v>
      </c>
      <c r="B134" s="34" t="str">
        <f t="shared" si="1"/>
      </c>
      <c r="C134" s="35" t="s">
        <v>431</v>
      </c>
      <c r="D134" s="36">
        <v>11000</v>
      </c>
      <c r="E134" s="37" t="s">
        <v>41</v>
      </c>
      <c r="F134" s="38"/>
      <c r="G134" s="39" t="str">
        <f t="shared" si="2"/>
      </c>
      <c r="H134" s="40" t="s">
        <v>432</v>
      </c>
      <c r="I134" s="41"/>
      <c r="J134" s="41"/>
      <c r="K134" s="41" t="s">
        <v>65</v>
      </c>
      <c r="L134" s="42" t="s">
        <v>44</v>
      </c>
      <c r="M134" s="43" t="s">
        <v>45</v>
      </c>
      <c r="N134" s="44" t="s">
        <v>47</v>
      </c>
      <c r="O134" s="45" t="s">
        <v>66</v>
      </c>
      <c r="P134" s="46" t="str">
        <f>IFERROR(__xludf.DUMMYFUNCTION("IF(OR(AND(C134&lt;&gt;"""", LEN(C134)&lt;3), LEN(C134)&gt;60, AND(D134&lt;&gt;"""", NOT(ISNUMBER(D134))), AND(ISNUMBER(D134), OR(D134&lt;0.01, D134&gt;999999999)), AND(COUNTA(D134:F134, H134:N134)&gt;0, C134=""""),                  
  AND(COUNTA(C134, H134:N134)&gt;0, D134=""""), LEN("&amp;"H134)&gt;50, AND(I134&lt;&gt;"""", NOT(ISNUMBER(I134))), AND(ISNUMBER(I134), OR(I134&lt;0, I134&gt;99998)), AND(L134&lt;&gt;"""", NOT(REGEXMATCH(L134&amp;"""", ""^\d{8,14}$"")))), ""Erro"", """")"),"")</f>
      </c>
    </row>
    <row r="135" ht="22.5" customHeight="true">
      <c r="A135" s="33" t="s">
        <v>433</v>
      </c>
      <c r="B135" s="34" t="str">
        <f t="shared" si="1"/>
      </c>
      <c r="C135" s="35" t="s">
        <v>434</v>
      </c>
      <c r="D135" s="36">
        <v>22600</v>
      </c>
      <c r="E135" s="37" t="s">
        <v>41</v>
      </c>
      <c r="F135" s="38"/>
      <c r="G135" s="39" t="str">
        <f t="shared" si="2"/>
      </c>
      <c r="H135" s="40" t="s">
        <v>435</v>
      </c>
      <c r="I135" s="41"/>
      <c r="J135" s="41"/>
      <c r="K135" s="41" t="s">
        <v>70</v>
      </c>
      <c r="L135" s="42" t="s">
        <v>44</v>
      </c>
      <c r="M135" s="43" t="s">
        <v>45</v>
      </c>
      <c r="N135" s="44" t="s">
        <v>47</v>
      </c>
      <c r="O135" s="45" t="s">
        <v>46</v>
      </c>
      <c r="P135" s="46" t="str">
        <f>IFERROR(__xludf.DUMMYFUNCTION("IF(OR(AND(C135&lt;&gt;"""", LEN(C135)&lt;3), LEN(C135)&gt;60, AND(D135&lt;&gt;"""", NOT(ISNUMBER(D135))), AND(ISNUMBER(D135), OR(D135&lt;0.01, D135&gt;999999999)), AND(COUNTA(D135:F135, H135:N135)&gt;0, C135=""""),                  
  AND(COUNTA(C135, H135:N135)&gt;0, D135=""""), LEN("&amp;"H135)&gt;50, AND(I135&lt;&gt;"""", NOT(ISNUMBER(I135))), AND(ISNUMBER(I135), OR(I135&lt;0, I135&gt;99998)), AND(L135&lt;&gt;"""", NOT(REGEXMATCH(L135&amp;"""", ""^\d{8,14}$"")))), ""Erro"", """")"),"")</f>
      </c>
    </row>
    <row r="136" ht="22.5" customHeight="true">
      <c r="A136" s="33" t="s">
        <v>436</v>
      </c>
      <c r="B136" s="34" t="str">
        <f t="shared" si="1"/>
      </c>
      <c r="C136" s="35" t="s">
        <v>437</v>
      </c>
      <c r="D136" s="36">
        <v>13125</v>
      </c>
      <c r="E136" s="37" t="s">
        <v>41</v>
      </c>
      <c r="F136" s="38"/>
      <c r="G136" s="39" t="str">
        <f t="shared" si="2"/>
      </c>
      <c r="H136" s="40" t="s">
        <v>438</v>
      </c>
      <c r="I136" s="41"/>
      <c r="J136" s="41"/>
      <c r="K136" s="41" t="s">
        <v>65</v>
      </c>
      <c r="L136" s="42" t="s">
        <v>44</v>
      </c>
      <c r="M136" s="43" t="s">
        <v>45</v>
      </c>
      <c r="N136" s="44" t="s">
        <v>47</v>
      </c>
      <c r="O136" s="45" t="s">
        <v>46</v>
      </c>
      <c r="P136" s="46" t="str">
        <f>IFERROR(__xludf.DUMMYFUNCTION("IF(OR(AND(C136&lt;&gt;"""", LEN(C136)&lt;3), LEN(C136)&gt;60, AND(D136&lt;&gt;"""", NOT(ISNUMBER(D136))), AND(ISNUMBER(D136), OR(D136&lt;0.01, D136&gt;999999999)), AND(COUNTA(D136:F136, H136:N136)&gt;0, C136=""""),                  
  AND(COUNTA(C136, H136:N136)&gt;0, D136=""""), LEN("&amp;"H136)&gt;50, AND(I136&lt;&gt;"""", NOT(ISNUMBER(I136))), AND(ISNUMBER(I136), OR(I136&lt;0, I136&gt;99998)), AND(L136&lt;&gt;"""", NOT(REGEXMATCH(L136&amp;"""", ""^\d{8,14}$"")))), ""Erro"", """")"),"")</f>
      </c>
    </row>
    <row r="137" ht="22.5" customHeight="true">
      <c r="A137" s="33" t="s">
        <v>439</v>
      </c>
      <c r="B137" s="34" t="str">
        <f t="shared" si="1"/>
      </c>
      <c r="C137" s="35" t="s">
        <v>440</v>
      </c>
      <c r="D137" s="36">
        <v>254</v>
      </c>
      <c r="E137" s="37" t="s">
        <v>41</v>
      </c>
      <c r="F137" s="38"/>
      <c r="G137" s="39" t="str">
        <f t="shared" si="2"/>
      </c>
      <c r="H137" s="40" t="s">
        <v>440</v>
      </c>
      <c r="I137" s="41"/>
      <c r="J137" s="41"/>
      <c r="K137" s="41" t="s">
        <v>43</v>
      </c>
      <c r="L137" s="42" t="s">
        <v>44</v>
      </c>
      <c r="M137" s="43" t="s">
        <v>45</v>
      </c>
      <c r="N137" s="44" t="s">
        <v>47</v>
      </c>
      <c r="O137" s="45" t="s">
        <v>46</v>
      </c>
      <c r="P137" s="46" t="str">
        <f>IFERROR(__xludf.DUMMYFUNCTION("IF(OR(AND(C137&lt;&gt;"""", LEN(C137)&lt;3), LEN(C137)&gt;60, AND(D137&lt;&gt;"""", NOT(ISNUMBER(D137))), AND(ISNUMBER(D137), OR(D137&lt;0.01, D137&gt;999999999)), AND(COUNTA(D137:F137, H137:N137)&gt;0, C137=""""),                  
  AND(COUNTA(C137, H137:N137)&gt;0, D137=""""), LEN("&amp;"H137)&gt;50, AND(I137&lt;&gt;"""", NOT(ISNUMBER(I137))), AND(ISNUMBER(I137), OR(I137&lt;0, I137&gt;99998)), AND(L137&lt;&gt;"""", NOT(REGEXMATCH(L137&amp;"""", ""^\d{8,14}$"")))), ""Erro"", """")"),"")</f>
      </c>
    </row>
    <row r="138" ht="22.5" customHeight="true">
      <c r="A138" s="33" t="s">
        <v>441</v>
      </c>
      <c r="B138" s="34" t="str">
        <f t="shared" si="1"/>
      </c>
      <c r="C138" s="35" t="s">
        <v>442</v>
      </c>
      <c r="D138" s="36">
        <v>657</v>
      </c>
      <c r="E138" s="37" t="s">
        <v>41</v>
      </c>
      <c r="F138" s="38"/>
      <c r="G138" s="39" t="str">
        <f t="shared" si="2"/>
      </c>
      <c r="H138" s="40" t="s">
        <v>443</v>
      </c>
      <c r="I138" s="41"/>
      <c r="J138" s="41"/>
      <c r="K138" s="41" t="s">
        <v>43</v>
      </c>
      <c r="L138" s="42" t="s">
        <v>44</v>
      </c>
      <c r="M138" s="43" t="s">
        <v>45</v>
      </c>
      <c r="N138" s="44" t="s">
        <v>47</v>
      </c>
      <c r="O138" s="45" t="s">
        <v>46</v>
      </c>
      <c r="P138" s="46" t="str">
        <f>IFERROR(__xludf.DUMMYFUNCTION("IF(OR(AND(C138&lt;&gt;"""", LEN(C138)&lt;3), LEN(C138)&gt;60, AND(D138&lt;&gt;"""", NOT(ISNUMBER(D138))), AND(ISNUMBER(D138), OR(D138&lt;0.01, D138&gt;999999999)), AND(COUNTA(D138:F138, H138:N138)&gt;0, C138=""""),                  
  AND(COUNTA(C138, H138:N138)&gt;0, D138=""""), LEN("&amp;"H138)&gt;50, AND(I138&lt;&gt;"""", NOT(ISNUMBER(I138))), AND(ISNUMBER(I138), OR(I138&lt;0, I138&gt;99998)), AND(L138&lt;&gt;"""", NOT(REGEXMATCH(L138&amp;"""", ""^\d{8,14}$"")))), ""Erro"", """")"),"")</f>
      </c>
    </row>
    <row r="139" ht="22.5" customHeight="true">
      <c r="A139" s="33" t="s">
        <v>444</v>
      </c>
      <c r="B139" s="34" t="str">
        <f t="shared" si="1"/>
      </c>
      <c r="C139" s="35" t="s">
        <v>445</v>
      </c>
      <c r="D139" s="36">
        <v>3150</v>
      </c>
      <c r="E139" s="37" t="s">
        <v>41</v>
      </c>
      <c r="F139" s="38"/>
      <c r="G139" s="39" t="str">
        <f t="shared" si="2"/>
      </c>
      <c r="H139" s="40" t="s">
        <v>446</v>
      </c>
      <c r="I139" s="41"/>
      <c r="J139" s="41"/>
      <c r="K139" s="41" t="s">
        <v>70</v>
      </c>
      <c r="L139" s="42" t="s">
        <v>44</v>
      </c>
      <c r="M139" s="43" t="s">
        <v>45</v>
      </c>
      <c r="N139" s="44" t="s">
        <v>47</v>
      </c>
      <c r="O139" s="45" t="s">
        <v>46</v>
      </c>
      <c r="P139" s="46" t="str">
        <f>IFERROR(__xludf.DUMMYFUNCTION("IF(OR(AND(C139&lt;&gt;"""", LEN(C139)&lt;3), LEN(C139)&gt;60, AND(D139&lt;&gt;"""", NOT(ISNUMBER(D139))), AND(ISNUMBER(D139), OR(D139&lt;0.01, D139&gt;999999999)), AND(COUNTA(D139:F139, H139:N139)&gt;0, C139=""""),                  
  AND(COUNTA(C139, H139:N139)&gt;0, D139=""""), LEN("&amp;"H139)&gt;50, AND(I139&lt;&gt;"""", NOT(ISNUMBER(I139))), AND(ISNUMBER(I139), OR(I139&lt;0, I139&gt;99998)), AND(L139&lt;&gt;"""", NOT(REGEXMATCH(L139&amp;"""", ""^\d{8,14}$"")))), ""Erro"", """")"),"")</f>
      </c>
    </row>
    <row r="140" ht="22.5" customHeight="true">
      <c r="A140" s="33" t="s">
        <v>447</v>
      </c>
      <c r="B140" s="34" t="str">
        <f t="shared" si="1"/>
      </c>
      <c r="C140" s="35" t="s">
        <v>448</v>
      </c>
      <c r="D140" s="36">
        <v>4553</v>
      </c>
      <c r="E140" s="37" t="s">
        <v>41</v>
      </c>
      <c r="F140" s="38"/>
      <c r="G140" s="39" t="str">
        <f t="shared" si="2"/>
      </c>
      <c r="H140" s="40" t="s">
        <v>449</v>
      </c>
      <c r="I140" s="41"/>
      <c r="J140" s="41"/>
      <c r="K140" s="41" t="s">
        <v>43</v>
      </c>
      <c r="L140" s="42" t="s">
        <v>44</v>
      </c>
      <c r="M140" s="43" t="s">
        <v>45</v>
      </c>
      <c r="N140" s="44" t="s">
        <v>47</v>
      </c>
      <c r="O140" s="45" t="s">
        <v>46</v>
      </c>
      <c r="P140" s="46" t="str">
        <f>IFERROR(__xludf.DUMMYFUNCTION("IF(OR(AND(C140&lt;&gt;"""", LEN(C140)&lt;3), LEN(C140)&gt;60, AND(D140&lt;&gt;"""", NOT(ISNUMBER(D140))), AND(ISNUMBER(D140), OR(D140&lt;0.01, D140&gt;999999999)), AND(COUNTA(D140:F140, H140:N140)&gt;0, C140=""""),                  
  AND(COUNTA(C140, H140:N140)&gt;0, D140=""""), LEN("&amp;"H140)&gt;50, AND(I140&lt;&gt;"""", NOT(ISNUMBER(I140))), AND(ISNUMBER(I140), OR(I140&lt;0, I140&gt;99998)), AND(L140&lt;&gt;"""", NOT(REGEXMATCH(L140&amp;"""", ""^\d{8,14}$"")))), ""Erro"", """")"),"")</f>
      </c>
    </row>
    <row r="141" ht="22.5" customHeight="true">
      <c r="A141" s="33" t="s">
        <v>450</v>
      </c>
      <c r="B141" s="34" t="str">
        <f t="shared" si="1"/>
      </c>
      <c r="C141" s="35" t="s">
        <v>451</v>
      </c>
      <c r="D141" s="36">
        <v>44200</v>
      </c>
      <c r="E141" s="37" t="s">
        <v>41</v>
      </c>
      <c r="F141" s="38"/>
      <c r="G141" s="39" t="str">
        <f t="shared" si="2"/>
      </c>
      <c r="H141" s="40" t="s">
        <v>452</v>
      </c>
      <c r="I141" s="41"/>
      <c r="J141" s="41"/>
      <c r="K141" s="41" t="s">
        <v>65</v>
      </c>
      <c r="L141" s="42" t="s">
        <v>44</v>
      </c>
      <c r="M141" s="43" t="s">
        <v>45</v>
      </c>
      <c r="N141" s="44" t="s">
        <v>47</v>
      </c>
      <c r="O141" s="45" t="s">
        <v>46</v>
      </c>
      <c r="P141" s="46" t="str">
        <f>IFERROR(__xludf.DUMMYFUNCTION("IF(OR(AND(C141&lt;&gt;"""", LEN(C141)&lt;3), LEN(C141)&gt;60, AND(D141&lt;&gt;"""", NOT(ISNUMBER(D141))), AND(ISNUMBER(D141), OR(D141&lt;0.01, D141&gt;999999999)), AND(COUNTA(D141:F141, H141:N141)&gt;0, C141=""""),                  
  AND(COUNTA(C141, H141:N141)&gt;0, D141=""""), LEN("&amp;"H141)&gt;50, AND(I141&lt;&gt;"""", NOT(ISNUMBER(I141))), AND(ISNUMBER(I141), OR(I141&lt;0, I141&gt;99998)), AND(L141&lt;&gt;"""", NOT(REGEXMATCH(L141&amp;"""", ""^\d{8,14}$"")))), ""Erro"", """")"),"")</f>
      </c>
    </row>
    <row r="142" ht="22.5" customHeight="true">
      <c r="A142" s="33" t="s">
        <v>453</v>
      </c>
      <c r="B142" s="34" t="str">
        <f t="shared" si="1"/>
      </c>
      <c r="C142" s="35" t="s">
        <v>454</v>
      </c>
      <c r="D142" s="36">
        <v>49050</v>
      </c>
      <c r="E142" s="37" t="s">
        <v>41</v>
      </c>
      <c r="F142" s="38"/>
      <c r="G142" s="39" t="str">
        <f t="shared" si="2"/>
      </c>
      <c r="H142" s="40" t="s">
        <v>455</v>
      </c>
      <c r="I142" s="41"/>
      <c r="J142" s="41"/>
      <c r="K142" s="41" t="s">
        <v>70</v>
      </c>
      <c r="L142" s="42" t="s">
        <v>44</v>
      </c>
      <c r="M142" s="43" t="s">
        <v>45</v>
      </c>
      <c r="N142" s="44" t="s">
        <v>47</v>
      </c>
      <c r="O142" s="45" t="s">
        <v>46</v>
      </c>
      <c r="P142" s="46" t="str">
        <f>IFERROR(__xludf.DUMMYFUNCTION("IF(OR(AND(C142&lt;&gt;"""", LEN(C142)&lt;3), LEN(C142)&gt;60, AND(D142&lt;&gt;"""", NOT(ISNUMBER(D142))), AND(ISNUMBER(D142), OR(D142&lt;0.01, D142&gt;999999999)), AND(COUNTA(D142:F142, H142:N142)&gt;0, C142=""""),                  
  AND(COUNTA(C142, H142:N142)&gt;0, D142=""""), LEN("&amp;"H142)&gt;50, AND(I142&lt;&gt;"""", NOT(ISNUMBER(I142))), AND(ISNUMBER(I142), OR(I142&lt;0, I142&gt;99998)), AND(L142&lt;&gt;"""", NOT(REGEXMATCH(L142&amp;"""", ""^\d{8,14}$"")))), ""Erro"", """")"),"")</f>
      </c>
    </row>
    <row r="143" ht="22.5" customHeight="true">
      <c r="A143" s="33" t="s">
        <v>456</v>
      </c>
      <c r="B143" s="34" t="str">
        <f t="shared" si="1"/>
      </c>
      <c r="C143" s="35" t="s">
        <v>457</v>
      </c>
      <c r="D143" s="36">
        <v>254</v>
      </c>
      <c r="E143" s="37" t="s">
        <v>41</v>
      </c>
      <c r="F143" s="38"/>
      <c r="G143" s="39" t="str">
        <f t="shared" si="2"/>
      </c>
      <c r="H143" s="40" t="s">
        <v>457</v>
      </c>
      <c r="I143" s="41"/>
      <c r="J143" s="41"/>
      <c r="K143" s="41" t="s">
        <v>43</v>
      </c>
      <c r="L143" s="42" t="s">
        <v>44</v>
      </c>
      <c r="M143" s="43" t="s">
        <v>45</v>
      </c>
      <c r="N143" s="44" t="s">
        <v>47</v>
      </c>
      <c r="O143" s="45" t="s">
        <v>46</v>
      </c>
      <c r="P143" s="46" t="str">
        <f>IFERROR(__xludf.DUMMYFUNCTION("IF(OR(AND(C143&lt;&gt;"""", LEN(C143)&lt;3), LEN(C143)&gt;60, AND(D143&lt;&gt;"""", NOT(ISNUMBER(D143))), AND(ISNUMBER(D143), OR(D143&lt;0.01, D143&gt;999999999)), AND(COUNTA(D143:F143, H143:N143)&gt;0, C143=""""),                  
  AND(COUNTA(C143, H143:N143)&gt;0, D143=""""), LEN("&amp;"H143)&gt;50, AND(I143&lt;&gt;"""", NOT(ISNUMBER(I143))), AND(ISNUMBER(I143), OR(I143&lt;0, I143&gt;99998)), AND(L143&lt;&gt;"""", NOT(REGEXMATCH(L143&amp;"""", ""^\d{8,14}$"")))), ""Erro"", """")"),"")</f>
      </c>
    </row>
    <row r="144" ht="22.5" customHeight="true">
      <c r="A144" s="33" t="s">
        <v>458</v>
      </c>
      <c r="B144" s="34" t="str">
        <f t="shared" si="1"/>
      </c>
      <c r="C144" s="35" t="s">
        <v>459</v>
      </c>
      <c r="D144" s="36">
        <v>11999</v>
      </c>
      <c r="E144" s="37" t="s">
        <v>41</v>
      </c>
      <c r="F144" s="38"/>
      <c r="G144" s="39" t="str">
        <f t="shared" si="2"/>
      </c>
      <c r="H144" s="40" t="s">
        <v>460</v>
      </c>
      <c r="I144" s="41"/>
      <c r="J144" s="41"/>
      <c r="K144" s="41" t="s">
        <v>43</v>
      </c>
      <c r="L144" s="42" t="s">
        <v>44</v>
      </c>
      <c r="M144" s="43" t="s">
        <v>45</v>
      </c>
      <c r="N144" s="44" t="s">
        <v>47</v>
      </c>
      <c r="O144" s="45" t="s">
        <v>46</v>
      </c>
      <c r="P144" s="46" t="str">
        <f>IFERROR(__xludf.DUMMYFUNCTION("IF(OR(AND(C144&lt;&gt;"""", LEN(C144)&lt;3), LEN(C144)&gt;60, AND(D144&lt;&gt;"""", NOT(ISNUMBER(D144))), AND(ISNUMBER(D144), OR(D144&lt;0.01, D144&gt;999999999)), AND(COUNTA(D144:F144, H144:N144)&gt;0, C144=""""),                  
  AND(COUNTA(C144, H144:N144)&gt;0, D144=""""), LEN("&amp;"H144)&gt;50, AND(I144&lt;&gt;"""", NOT(ISNUMBER(I144))), AND(ISNUMBER(I144), OR(I144&lt;0, I144&gt;99998)), AND(L144&lt;&gt;"""", NOT(REGEXMATCH(L144&amp;"""", ""^\d{8,14}$"")))), ""Erro"", """")"),"")</f>
      </c>
    </row>
    <row r="145" ht="22.5" customHeight="true">
      <c r="A145" s="33" t="s">
        <v>461</v>
      </c>
      <c r="B145" s="34" t="str">
        <f t="shared" si="1"/>
      </c>
      <c r="C145" s="35" t="s">
        <v>462</v>
      </c>
      <c r="D145" s="36">
        <v>18338</v>
      </c>
      <c r="E145" s="37" t="s">
        <v>41</v>
      </c>
      <c r="F145" s="38"/>
      <c r="G145" s="39" t="str">
        <f t="shared" si="2"/>
      </c>
      <c r="H145" s="40" t="s">
        <v>463</v>
      </c>
      <c r="I145" s="41"/>
      <c r="J145" s="41"/>
      <c r="K145" s="41" t="s">
        <v>43</v>
      </c>
      <c r="L145" s="42" t="s">
        <v>44</v>
      </c>
      <c r="M145" s="43" t="s">
        <v>45</v>
      </c>
      <c r="N145" s="44" t="s">
        <v>47</v>
      </c>
      <c r="O145" s="45" t="s">
        <v>46</v>
      </c>
      <c r="P145" s="46" t="str">
        <f>IFERROR(__xludf.DUMMYFUNCTION("IF(OR(AND(C145&lt;&gt;"""", LEN(C145)&lt;3), LEN(C145)&gt;60, AND(D145&lt;&gt;"""", NOT(ISNUMBER(D145))), AND(ISNUMBER(D145), OR(D145&lt;0.01, D145&gt;999999999)), AND(COUNTA(D145:F145, H145:N145)&gt;0, C145=""""),                  
  AND(COUNTA(C145, H145:N145)&gt;0, D145=""""), LEN("&amp;"H145)&gt;50, AND(I145&lt;&gt;"""", NOT(ISNUMBER(I145))), AND(ISNUMBER(I145), OR(I145&lt;0, I145&gt;99998)), AND(L145&lt;&gt;"""", NOT(REGEXMATCH(L145&amp;"""", ""^\d{8,14}$"")))), ""Erro"", """")"),"")</f>
      </c>
    </row>
    <row r="146" ht="22.5" customHeight="true">
      <c r="A146" s="33" t="s">
        <v>464</v>
      </c>
      <c r="B146" s="34" t="str">
        <f t="shared" si="1"/>
      </c>
      <c r="C146" s="35" t="s">
        <v>465</v>
      </c>
      <c r="D146" s="36">
        <v>445</v>
      </c>
      <c r="E146" s="37" t="s">
        <v>41</v>
      </c>
      <c r="F146" s="38"/>
      <c r="G146" s="39" t="str">
        <f t="shared" si="2"/>
      </c>
      <c r="H146" s="40" t="s">
        <v>466</v>
      </c>
      <c r="I146" s="41"/>
      <c r="J146" s="41"/>
      <c r="K146" s="41" t="s">
        <v>43</v>
      </c>
      <c r="L146" s="42" t="s">
        <v>44</v>
      </c>
      <c r="M146" s="43" t="s">
        <v>45</v>
      </c>
      <c r="N146" s="44" t="s">
        <v>47</v>
      </c>
      <c r="O146" s="45" t="s">
        <v>46</v>
      </c>
      <c r="P146" s="46" t="str">
        <f>IFERROR(__xludf.DUMMYFUNCTION("IF(OR(AND(C146&lt;&gt;"""", LEN(C146)&lt;3), LEN(C146)&gt;60, AND(D146&lt;&gt;"""", NOT(ISNUMBER(D146))), AND(ISNUMBER(D146), OR(D146&lt;0.01, D146&gt;999999999)), AND(COUNTA(D146:F146, H146:N146)&gt;0, C146=""""),                  
  AND(COUNTA(C146, H146:N146)&gt;0, D146=""""), LEN("&amp;"H146)&gt;50, AND(I146&lt;&gt;"""", NOT(ISNUMBER(I146))), AND(ISNUMBER(I146), OR(I146&lt;0, I146&gt;99998)), AND(L146&lt;&gt;"""", NOT(REGEXMATCH(L146&amp;"""", ""^\d{8,14}$"")))), ""Erro"", """")"),"")</f>
      </c>
    </row>
    <row r="147" ht="22.5" customHeight="true">
      <c r="A147" s="33" t="s">
        <v>467</v>
      </c>
      <c r="B147" s="34" t="str">
        <f t="shared" si="1"/>
      </c>
      <c r="C147" s="35" t="s">
        <v>468</v>
      </c>
      <c r="D147" s="36">
        <v>4500</v>
      </c>
      <c r="E147" s="37" t="s">
        <v>41</v>
      </c>
      <c r="F147" s="38"/>
      <c r="G147" s="39" t="str">
        <f t="shared" si="2"/>
      </c>
      <c r="H147" s="40" t="s">
        <v>468</v>
      </c>
      <c r="I147" s="41"/>
      <c r="J147" s="41"/>
      <c r="K147" s="41" t="s">
        <v>174</v>
      </c>
      <c r="L147" s="42" t="s">
        <v>44</v>
      </c>
      <c r="M147" s="43" t="s">
        <v>45</v>
      </c>
      <c r="N147" s="44" t="s">
        <v>47</v>
      </c>
      <c r="O147" s="45" t="s">
        <v>58</v>
      </c>
      <c r="P147" s="46" t="str">
        <f>IFERROR(__xludf.DUMMYFUNCTION("IF(OR(AND(C147&lt;&gt;"""", LEN(C147)&lt;3), LEN(C147)&gt;60, AND(D147&lt;&gt;"""", NOT(ISNUMBER(D147))), AND(ISNUMBER(D147), OR(D147&lt;0.01, D147&gt;999999999)), AND(COUNTA(D147:F147, H147:N147)&gt;0, C147=""""),                  
  AND(COUNTA(C147, H147:N147)&gt;0, D147=""""), LEN("&amp;"H147)&gt;50, AND(I147&lt;&gt;"""", NOT(ISNUMBER(I147))), AND(ISNUMBER(I147), OR(I147&lt;0, I147&gt;99998)), AND(L147&lt;&gt;"""", NOT(REGEXMATCH(L147&amp;"""", ""^\d{8,14}$"")))), ""Erro"", """")"),"")</f>
      </c>
    </row>
    <row r="148" ht="22.5" customHeight="true">
      <c r="A148" s="33" t="s">
        <v>469</v>
      </c>
      <c r="B148" s="34" t="str">
        <f t="shared" si="1"/>
      </c>
      <c r="C148" s="35" t="s">
        <v>470</v>
      </c>
      <c r="D148" s="36">
        <v>28050</v>
      </c>
      <c r="E148" s="37" t="s">
        <v>41</v>
      </c>
      <c r="F148" s="38"/>
      <c r="G148" s="39" t="str">
        <f t="shared" si="2"/>
      </c>
      <c r="H148" s="40" t="s">
        <v>471</v>
      </c>
      <c r="I148" s="41"/>
      <c r="J148" s="41"/>
      <c r="K148" s="41" t="s">
        <v>70</v>
      </c>
      <c r="L148" s="42" t="s">
        <v>44</v>
      </c>
      <c r="M148" s="43" t="s">
        <v>45</v>
      </c>
      <c r="N148" s="44" t="s">
        <v>47</v>
      </c>
      <c r="O148" s="45" t="s">
        <v>46</v>
      </c>
      <c r="P148" s="46" t="str">
        <f>IFERROR(__xludf.DUMMYFUNCTION("IF(OR(AND(C148&lt;&gt;"""", LEN(C148)&lt;3), LEN(C148)&gt;60, AND(D148&lt;&gt;"""", NOT(ISNUMBER(D148))), AND(ISNUMBER(D148), OR(D148&lt;0.01, D148&gt;999999999)), AND(COUNTA(D148:F148, H148:N148)&gt;0, C148=""""),                  
  AND(COUNTA(C148, H148:N148)&gt;0, D148=""""), LEN("&amp;"H148)&gt;50, AND(I148&lt;&gt;"""", NOT(ISNUMBER(I148))), AND(ISNUMBER(I148), OR(I148&lt;0, I148&gt;99998)), AND(L148&lt;&gt;"""", NOT(REGEXMATCH(L148&amp;"""", ""^\d{8,14}$"")))), ""Erro"", """")"),"")</f>
      </c>
    </row>
    <row r="149" ht="22.5" customHeight="true">
      <c r="A149" s="33" t="s">
        <v>472</v>
      </c>
      <c r="B149" s="34" t="str">
        <f t="shared" si="1"/>
      </c>
      <c r="C149" s="35" t="s">
        <v>473</v>
      </c>
      <c r="D149" s="36">
        <v>466</v>
      </c>
      <c r="E149" s="37" t="s">
        <v>41</v>
      </c>
      <c r="F149" s="38"/>
      <c r="G149" s="39" t="str">
        <f t="shared" si="2"/>
      </c>
      <c r="H149" s="40" t="s">
        <v>474</v>
      </c>
      <c r="I149" s="41"/>
      <c r="J149" s="41"/>
      <c r="K149" s="41" t="s">
        <v>43</v>
      </c>
      <c r="L149" s="42" t="s">
        <v>44</v>
      </c>
      <c r="M149" s="43" t="s">
        <v>45</v>
      </c>
      <c r="N149" s="44" t="s">
        <v>47</v>
      </c>
      <c r="O149" s="45" t="s">
        <v>46</v>
      </c>
      <c r="P149" s="46" t="str">
        <f>IFERROR(__xludf.DUMMYFUNCTION("IF(OR(AND(C149&lt;&gt;"""", LEN(C149)&lt;3), LEN(C149)&gt;60, AND(D149&lt;&gt;"""", NOT(ISNUMBER(D149))), AND(ISNUMBER(D149), OR(D149&lt;0.01, D149&gt;999999999)), AND(COUNTA(D149:F149, H149:N149)&gt;0, C149=""""),                  
  AND(COUNTA(C149, H149:N149)&gt;0, D149=""""), LEN("&amp;"H149)&gt;50, AND(I149&lt;&gt;"""", NOT(ISNUMBER(I149))), AND(ISNUMBER(I149), OR(I149&lt;0, I149&gt;99998)), AND(L149&lt;&gt;"""", NOT(REGEXMATCH(L149&amp;"""", ""^\d{8,14}$"")))), ""Erro"", """")"),"")</f>
      </c>
    </row>
    <row r="150" ht="22.5" customHeight="true">
      <c r="A150" s="33" t="s">
        <v>475</v>
      </c>
      <c r="B150" s="34" t="str">
        <f t="shared" si="1"/>
      </c>
      <c r="C150" s="35" t="s">
        <v>476</v>
      </c>
      <c r="D150" s="36">
        <v>22050</v>
      </c>
      <c r="E150" s="37" t="s">
        <v>41</v>
      </c>
      <c r="F150" s="38"/>
      <c r="G150" s="39" t="str">
        <f t="shared" si="2"/>
      </c>
      <c r="H150" s="40" t="s">
        <v>477</v>
      </c>
      <c r="I150" s="41"/>
      <c r="J150" s="41"/>
      <c r="K150" s="41" t="s">
        <v>70</v>
      </c>
      <c r="L150" s="42" t="s">
        <v>44</v>
      </c>
      <c r="M150" s="43" t="s">
        <v>45</v>
      </c>
      <c r="N150" s="44" t="s">
        <v>47</v>
      </c>
      <c r="O150" s="45" t="s">
        <v>46</v>
      </c>
      <c r="P150" s="46" t="str">
        <f>IFERROR(__xludf.DUMMYFUNCTION("IF(OR(AND(C150&lt;&gt;"""", LEN(C150)&lt;3), LEN(C150)&gt;60, AND(D150&lt;&gt;"""", NOT(ISNUMBER(D150))), AND(ISNUMBER(D150), OR(D150&lt;0.01, D150&gt;999999999)), AND(COUNTA(D150:F150, H150:N150)&gt;0, C150=""""),                  
  AND(COUNTA(C150, H150:N150)&gt;0, D150=""""), LEN("&amp;"H150)&gt;50, AND(I150&lt;&gt;"""", NOT(ISNUMBER(I150))), AND(ISNUMBER(I150), OR(I150&lt;0, I150&gt;99998)), AND(L150&lt;&gt;"""", NOT(REGEXMATCH(L150&amp;"""", ""^\d{8,14}$"")))), ""Erro"", """")"),"")</f>
      </c>
    </row>
    <row r="151" ht="22.5" customHeight="true">
      <c r="A151" s="33" t="s">
        <v>478</v>
      </c>
      <c r="B151" s="34" t="str">
        <f t="shared" si="1"/>
      </c>
      <c r="C151" s="35" t="s">
        <v>479</v>
      </c>
      <c r="D151" s="36">
        <v>1060</v>
      </c>
      <c r="E151" s="37" t="s">
        <v>41</v>
      </c>
      <c r="F151" s="38"/>
      <c r="G151" s="39" t="str">
        <f t="shared" si="2"/>
      </c>
      <c r="H151" s="40" t="s">
        <v>480</v>
      </c>
      <c r="I151" s="41"/>
      <c r="J151" s="41"/>
      <c r="K151" s="41" t="s">
        <v>43</v>
      </c>
      <c r="L151" s="42" t="s">
        <v>44</v>
      </c>
      <c r="M151" s="43" t="s">
        <v>45</v>
      </c>
      <c r="N151" s="44" t="s">
        <v>47</v>
      </c>
      <c r="O151" s="45" t="s">
        <v>46</v>
      </c>
      <c r="P151" s="46" t="str">
        <f>IFERROR(__xludf.DUMMYFUNCTION("IF(OR(AND(C151&lt;&gt;"""", LEN(C151)&lt;3), LEN(C151)&gt;60, AND(D151&lt;&gt;"""", NOT(ISNUMBER(D151))), AND(ISNUMBER(D151), OR(D151&lt;0.01, D151&gt;999999999)), AND(COUNTA(D151:F151, H151:N151)&gt;0, C151=""""),                  
  AND(COUNTA(C151, H151:N151)&gt;0, D151=""""), LEN("&amp;"H151)&gt;50, AND(I151&lt;&gt;"""", NOT(ISNUMBER(I151))), AND(ISNUMBER(I151), OR(I151&lt;0, I151&gt;99998)), AND(L151&lt;&gt;"""", NOT(REGEXMATCH(L151&amp;"""", ""^\d{8,14}$"")))), ""Erro"", """")"),"")</f>
      </c>
    </row>
    <row r="152" ht="22.5" customHeight="true">
      <c r="A152" s="33" t="s">
        <v>481</v>
      </c>
      <c r="B152" s="34" t="str">
        <f t="shared" si="1"/>
      </c>
      <c r="C152" s="35" t="s">
        <v>482</v>
      </c>
      <c r="D152" s="36">
        <v>716</v>
      </c>
      <c r="E152" s="37" t="s">
        <v>41</v>
      </c>
      <c r="F152" s="38"/>
      <c r="G152" s="39" t="str">
        <f t="shared" si="2"/>
      </c>
      <c r="H152" s="40" t="s">
        <v>483</v>
      </c>
      <c r="I152" s="41"/>
      <c r="J152" s="41"/>
      <c r="K152" s="41" t="s">
        <v>43</v>
      </c>
      <c r="L152" s="42" t="s">
        <v>44</v>
      </c>
      <c r="M152" s="43" t="s">
        <v>45</v>
      </c>
      <c r="N152" s="44" t="s">
        <v>47</v>
      </c>
      <c r="O152" s="45" t="s">
        <v>46</v>
      </c>
      <c r="P152" s="46" t="str">
        <f>IFERROR(__xludf.DUMMYFUNCTION("IF(OR(AND(C152&lt;&gt;"""", LEN(C152)&lt;3), LEN(C152)&gt;60, AND(D152&lt;&gt;"""", NOT(ISNUMBER(D152))), AND(ISNUMBER(D152), OR(D152&lt;0.01, D152&gt;999999999)), AND(COUNTA(D152:F152, H152:N152)&gt;0, C152=""""),                  
  AND(COUNTA(C152, H152:N152)&gt;0, D152=""""), LEN("&amp;"H152)&gt;50, AND(I152&lt;&gt;"""", NOT(ISNUMBER(I152))), AND(ISNUMBER(I152), OR(I152&lt;0, I152&gt;99998)), AND(L152&lt;&gt;"""", NOT(REGEXMATCH(L152&amp;"""", ""^\d{8,14}$"")))), ""Erro"", """")"),"")</f>
      </c>
    </row>
    <row r="153" ht="22.5" customHeight="true">
      <c r="A153" s="33" t="s">
        <v>484</v>
      </c>
      <c r="B153" s="34" t="str">
        <f t="shared" si="1"/>
      </c>
      <c r="C153" s="35" t="s">
        <v>485</v>
      </c>
      <c r="D153" s="36">
        <v>1149</v>
      </c>
      <c r="E153" s="37" t="s">
        <v>41</v>
      </c>
      <c r="F153" s="38"/>
      <c r="G153" s="39" t="str">
        <f t="shared" si="2"/>
      </c>
      <c r="H153" s="40" t="s">
        <v>44</v>
      </c>
      <c r="I153" s="41"/>
      <c r="J153" s="41"/>
      <c r="K153" s="41" t="s">
        <v>486</v>
      </c>
      <c r="L153" s="42" t="s">
        <v>44</v>
      </c>
      <c r="M153" s="43" t="s">
        <v>45</v>
      </c>
      <c r="N153" s="44" t="s">
        <v>47</v>
      </c>
      <c r="O153" s="45" t="s">
        <v>66</v>
      </c>
      <c r="P153" s="46" t="str">
        <f>IFERROR(__xludf.DUMMYFUNCTION("IF(OR(AND(C153&lt;&gt;"""", LEN(C153)&lt;3), LEN(C153)&gt;60, AND(D153&lt;&gt;"""", NOT(ISNUMBER(D153))), AND(ISNUMBER(D153), OR(D153&lt;0.01, D153&gt;999999999)), AND(COUNTA(D153:F153, H153:N153)&gt;0, C153=""""),                  
  AND(COUNTA(C153, H153:N153)&gt;0, D153=""""), LEN("&amp;"H153)&gt;50, AND(I153&lt;&gt;"""", NOT(ISNUMBER(I153))), AND(ISNUMBER(I153), OR(I153&lt;0, I153&gt;99998)), AND(L153&lt;&gt;"""", NOT(REGEXMATCH(L153&amp;"""", ""^\d{8,14}$"")))), ""Erro"", """")"),"")</f>
      </c>
    </row>
    <row r="154" ht="22.5" customHeight="true">
      <c r="A154" s="33" t="s">
        <v>487</v>
      </c>
      <c r="B154" s="34" t="str">
        <f t="shared" si="1"/>
      </c>
      <c r="C154" s="35" t="s">
        <v>488</v>
      </c>
      <c r="D154" s="36">
        <v>900</v>
      </c>
      <c r="E154" s="37" t="s">
        <v>41</v>
      </c>
      <c r="F154" s="38"/>
      <c r="G154" s="39" t="str">
        <f t="shared" si="2"/>
      </c>
      <c r="H154" s="40" t="s">
        <v>44</v>
      </c>
      <c r="I154" s="41"/>
      <c r="J154" s="41"/>
      <c r="K154" s="41" t="s">
        <v>54</v>
      </c>
      <c r="L154" s="42" t="s">
        <v>44</v>
      </c>
      <c r="M154" s="43" t="s">
        <v>45</v>
      </c>
      <c r="N154" s="44" t="s">
        <v>47</v>
      </c>
      <c r="O154" s="45" t="s">
        <v>46</v>
      </c>
      <c r="P154" s="46" t="str">
        <f>IFERROR(__xludf.DUMMYFUNCTION("IF(OR(AND(C154&lt;&gt;"""", LEN(C154)&lt;3), LEN(C154)&gt;60, AND(D154&lt;&gt;"""", NOT(ISNUMBER(D154))), AND(ISNUMBER(D154), OR(D154&lt;0.01, D154&gt;999999999)), AND(COUNTA(D154:F154, H154:N154)&gt;0, C154=""""),                  
  AND(COUNTA(C154, H154:N154)&gt;0, D154=""""), LEN("&amp;"H154)&gt;50, AND(I154&lt;&gt;"""", NOT(ISNUMBER(I154))), AND(ISNUMBER(I154), OR(I154&lt;0, I154&gt;99998)), AND(L154&lt;&gt;"""", NOT(REGEXMATCH(L154&amp;"""", ""^\d{8,14}$"")))), ""Erro"", """")"),"")</f>
      </c>
    </row>
    <row r="155" ht="22.5" customHeight="true">
      <c r="A155" s="33" t="s">
        <v>489</v>
      </c>
      <c r="B155" s="34" t="str">
        <f t="shared" si="1"/>
      </c>
      <c r="C155" s="35" t="s">
        <v>490</v>
      </c>
      <c r="D155" s="36">
        <v>1800</v>
      </c>
      <c r="E155" s="37" t="s">
        <v>41</v>
      </c>
      <c r="F155" s="38"/>
      <c r="G155" s="39" t="str">
        <f t="shared" si="2"/>
      </c>
      <c r="H155" s="40" t="s">
        <v>44</v>
      </c>
      <c r="I155" s="41"/>
      <c r="J155" s="41"/>
      <c r="K155" s="41" t="s">
        <v>54</v>
      </c>
      <c r="L155" s="42" t="s">
        <v>44</v>
      </c>
      <c r="M155" s="43" t="s">
        <v>45</v>
      </c>
      <c r="N155" s="44" t="s">
        <v>47</v>
      </c>
      <c r="O155" s="45" t="s">
        <v>46</v>
      </c>
      <c r="P155" s="46" t="str">
        <f>IFERROR(__xludf.DUMMYFUNCTION("IF(OR(AND(C155&lt;&gt;"""", LEN(C155)&lt;3), LEN(C155)&gt;60, AND(D155&lt;&gt;"""", NOT(ISNUMBER(D155))), AND(ISNUMBER(D155), OR(D155&lt;0.01, D155&gt;999999999)), AND(COUNTA(D155:F155, H155:N155)&gt;0, C155=""""),                  
  AND(COUNTA(C155, H155:N155)&gt;0, D155=""""), LEN("&amp;"H155)&gt;50, AND(I155&lt;&gt;"""", NOT(ISNUMBER(I155))), AND(ISNUMBER(I155), OR(I155&lt;0, I155&gt;99998)), AND(L155&lt;&gt;"""", NOT(REGEXMATCH(L155&amp;"""", ""^\d{8,14}$"")))), ""Erro"", """")"),"")</f>
      </c>
    </row>
    <row r="156" ht="22.5" customHeight="true">
      <c r="A156" s="33" t="s">
        <v>491</v>
      </c>
      <c r="B156" s="34" t="str">
        <f t="shared" si="1"/>
      </c>
      <c r="C156" s="35" t="s">
        <v>492</v>
      </c>
      <c r="D156" s="36">
        <v>1500</v>
      </c>
      <c r="E156" s="37" t="s">
        <v>41</v>
      </c>
      <c r="F156" s="38"/>
      <c r="G156" s="39" t="str">
        <f t="shared" si="2"/>
      </c>
      <c r="H156" s="40" t="s">
        <v>44</v>
      </c>
      <c r="I156" s="41"/>
      <c r="J156" s="41"/>
      <c r="K156" s="41" t="s">
        <v>54</v>
      </c>
      <c r="L156" s="42" t="s">
        <v>44</v>
      </c>
      <c r="M156" s="43" t="s">
        <v>45</v>
      </c>
      <c r="N156" s="44" t="s">
        <v>47</v>
      </c>
      <c r="O156" s="45" t="s">
        <v>46</v>
      </c>
      <c r="P156" s="46" t="str">
        <f>IFERROR(__xludf.DUMMYFUNCTION("IF(OR(AND(C156&lt;&gt;"""", LEN(C156)&lt;3), LEN(C156)&gt;60, AND(D156&lt;&gt;"""", NOT(ISNUMBER(D156))), AND(ISNUMBER(D156), OR(D156&lt;0.01, D156&gt;999999999)), AND(COUNTA(D156:F156, H156:N156)&gt;0, C156=""""),                  
  AND(COUNTA(C156, H156:N156)&gt;0, D156=""""), LEN("&amp;"H156)&gt;50, AND(I156&lt;&gt;"""", NOT(ISNUMBER(I156))), AND(ISNUMBER(I156), OR(I156&lt;0, I156&gt;99998)), AND(L156&lt;&gt;"""", NOT(REGEXMATCH(L156&amp;"""", ""^\d{8,14}$"")))), ""Erro"", """")"),"")</f>
      </c>
    </row>
    <row r="157" ht="22.5" customHeight="true">
      <c r="A157" s="33" t="s">
        <v>493</v>
      </c>
      <c r="B157" s="34" t="str">
        <f t="shared" si="1"/>
      </c>
      <c r="C157" s="35" t="s">
        <v>494</v>
      </c>
      <c r="D157" s="36">
        <v>975</v>
      </c>
      <c r="E157" s="37" t="s">
        <v>41</v>
      </c>
      <c r="F157" s="38"/>
      <c r="G157" s="39" t="str">
        <f t="shared" si="2"/>
      </c>
      <c r="H157" s="40" t="s">
        <v>44</v>
      </c>
      <c r="I157" s="41"/>
      <c r="J157" s="41"/>
      <c r="K157" s="41" t="s">
        <v>486</v>
      </c>
      <c r="L157" s="42" t="s">
        <v>44</v>
      </c>
      <c r="M157" s="43" t="s">
        <v>45</v>
      </c>
      <c r="N157" s="44" t="s">
        <v>47</v>
      </c>
      <c r="O157" s="45" t="s">
        <v>66</v>
      </c>
      <c r="P157" s="46" t="str">
        <f>IFERROR(__xludf.DUMMYFUNCTION("IF(OR(AND(C157&lt;&gt;"""", LEN(C157)&lt;3), LEN(C157)&gt;60, AND(D157&lt;&gt;"""", NOT(ISNUMBER(D157))), AND(ISNUMBER(D157), OR(D157&lt;0.01, D157&gt;999999999)), AND(COUNTA(D157:F157, H157:N157)&gt;0, C157=""""),                  
  AND(COUNTA(C157, H157:N157)&gt;0, D157=""""), LEN("&amp;"H157)&gt;50, AND(I157&lt;&gt;"""", NOT(ISNUMBER(I157))), AND(ISNUMBER(I157), OR(I157&lt;0, I157&gt;99998)), AND(L157&lt;&gt;"""", NOT(REGEXMATCH(L157&amp;"""", ""^\d{8,14}$"")))), ""Erro"", """")"),"")</f>
      </c>
    </row>
    <row r="158" ht="22.5" customHeight="true">
      <c r="A158" s="33" t="s">
        <v>495</v>
      </c>
      <c r="B158" s="34" t="str">
        <f t="shared" si="1"/>
      </c>
      <c r="C158" s="35" t="s">
        <v>496</v>
      </c>
      <c r="D158" s="36">
        <v>1800</v>
      </c>
      <c r="E158" s="37" t="s">
        <v>41</v>
      </c>
      <c r="F158" s="38"/>
      <c r="G158" s="39" t="str">
        <f t="shared" si="2"/>
      </c>
      <c r="H158" s="40" t="s">
        <v>44</v>
      </c>
      <c r="I158" s="41"/>
      <c r="J158" s="41"/>
      <c r="K158" s="41" t="s">
        <v>54</v>
      </c>
      <c r="L158" s="42" t="s">
        <v>44</v>
      </c>
      <c r="M158" s="43" t="s">
        <v>45</v>
      </c>
      <c r="N158" s="44" t="s">
        <v>47</v>
      </c>
      <c r="O158" s="45" t="s">
        <v>46</v>
      </c>
      <c r="P158" s="46" t="str">
        <f>IFERROR(__xludf.DUMMYFUNCTION("IF(OR(AND(C158&lt;&gt;"""", LEN(C158)&lt;3), LEN(C158)&gt;60, AND(D158&lt;&gt;"""", NOT(ISNUMBER(D158))), AND(ISNUMBER(D158), OR(D158&lt;0.01, D158&gt;999999999)), AND(COUNTA(D158:F158, H158:N158)&gt;0, C158=""""),                  
  AND(COUNTA(C158, H158:N158)&gt;0, D158=""""), LEN("&amp;"H158)&gt;50, AND(I158&lt;&gt;"""", NOT(ISNUMBER(I158))), AND(ISNUMBER(I158), OR(I158&lt;0, I158&gt;99998)), AND(L158&lt;&gt;"""", NOT(REGEXMATCH(L158&amp;"""", ""^\d{8,14}$"")))), ""Erro"", """")"),"")</f>
      </c>
    </row>
    <row r="159" ht="22.5" customHeight="true">
      <c r="A159" s="33" t="s">
        <v>497</v>
      </c>
      <c r="B159" s="34" t="str">
        <f t="shared" si="1"/>
      </c>
      <c r="C159" s="35" t="s">
        <v>498</v>
      </c>
      <c r="D159" s="36">
        <v>920</v>
      </c>
      <c r="E159" s="37" t="s">
        <v>41</v>
      </c>
      <c r="F159" s="38"/>
      <c r="G159" s="39" t="str">
        <f t="shared" si="2"/>
      </c>
      <c r="H159" s="40" t="s">
        <v>44</v>
      </c>
      <c r="I159" s="41"/>
      <c r="J159" s="41"/>
      <c r="K159" s="41" t="s">
        <v>486</v>
      </c>
      <c r="L159" s="42" t="s">
        <v>44</v>
      </c>
      <c r="M159" s="43" t="s">
        <v>47</v>
      </c>
      <c r="N159" s="44" t="s">
        <v>47</v>
      </c>
      <c r="O159" s="45" t="s">
        <v>66</v>
      </c>
      <c r="P159" s="46" t="str">
        <f>IFERROR(__xludf.DUMMYFUNCTION("IF(OR(AND(C159&lt;&gt;"""", LEN(C159)&lt;3), LEN(C159)&gt;60, AND(D159&lt;&gt;"""", NOT(ISNUMBER(D159))), AND(ISNUMBER(D159), OR(D159&lt;0.01, D159&gt;999999999)), AND(COUNTA(D159:F159, H159:N159)&gt;0, C159=""""),                  
  AND(COUNTA(C159, H159:N159)&gt;0, D159=""""), LEN("&amp;"H159)&gt;50, AND(I159&lt;&gt;"""", NOT(ISNUMBER(I159))), AND(ISNUMBER(I159), OR(I159&lt;0, I159&gt;99998)), AND(L159&lt;&gt;"""", NOT(REGEXMATCH(L159&amp;"""", ""^\d{8,14}$"")))), ""Erro"", """")"),"")</f>
      </c>
    </row>
    <row r="160" ht="22.5" customHeight="true">
      <c r="A160" s="33" t="s">
        <v>499</v>
      </c>
      <c r="B160" s="34" t="str">
        <f t="shared" si="1"/>
      </c>
      <c r="C160" s="35" t="s">
        <v>500</v>
      </c>
      <c r="D160" s="36">
        <v>2850</v>
      </c>
      <c r="E160" s="37" t="s">
        <v>41</v>
      </c>
      <c r="F160" s="38"/>
      <c r="G160" s="39" t="str">
        <f t="shared" si="2"/>
      </c>
      <c r="H160" s="40" t="s">
        <v>501</v>
      </c>
      <c r="I160" s="41"/>
      <c r="J160" s="41"/>
      <c r="K160" s="41" t="s">
        <v>174</v>
      </c>
      <c r="L160" s="42" t="s">
        <v>44</v>
      </c>
      <c r="M160" s="43" t="s">
        <v>45</v>
      </c>
      <c r="N160" s="44" t="s">
        <v>47</v>
      </c>
      <c r="O160" s="45" t="s">
        <v>58</v>
      </c>
      <c r="P160" s="46" t="str">
        <f>IFERROR(__xludf.DUMMYFUNCTION("IF(OR(AND(C160&lt;&gt;"""", LEN(C160)&lt;3), LEN(C160)&gt;60, AND(D160&lt;&gt;"""", NOT(ISNUMBER(D160))), AND(ISNUMBER(D160), OR(D160&lt;0.01, D160&gt;999999999)), AND(COUNTA(D160:F160, H160:N160)&gt;0, C160=""""),                  
  AND(COUNTA(C160, H160:N160)&gt;0, D160=""""), LEN("&amp;"H160)&gt;50, AND(I160&lt;&gt;"""", NOT(ISNUMBER(I160))), AND(ISNUMBER(I160), OR(I160&lt;0, I160&gt;99998)), AND(L160&lt;&gt;"""", NOT(REGEXMATCH(L160&amp;"""", ""^\d{8,14}$"")))), ""Erro"", """")"),"")</f>
      </c>
    </row>
    <row r="161" ht="22.5" customHeight="true">
      <c r="A161" s="33" t="s">
        <v>502</v>
      </c>
      <c r="B161" s="34" t="str">
        <f t="shared" si="1"/>
      </c>
      <c r="C161" s="35" t="s">
        <v>503</v>
      </c>
      <c r="D161" s="36">
        <v>1714</v>
      </c>
      <c r="E161" s="37" t="s">
        <v>41</v>
      </c>
      <c r="F161" s="38"/>
      <c r="G161" s="39" t="str">
        <f t="shared" si="2"/>
      </c>
      <c r="H161" s="40" t="s">
        <v>504</v>
      </c>
      <c r="I161" s="41"/>
      <c r="J161" s="41"/>
      <c r="K161" s="41" t="s">
        <v>486</v>
      </c>
      <c r="L161" s="42" t="s">
        <v>44</v>
      </c>
      <c r="M161" s="43" t="s">
        <v>45</v>
      </c>
      <c r="N161" s="44" t="s">
        <v>47</v>
      </c>
      <c r="O161" s="45" t="s">
        <v>66</v>
      </c>
      <c r="P161" s="46" t="str">
        <f>IFERROR(__xludf.DUMMYFUNCTION("IF(OR(AND(C161&lt;&gt;"""", LEN(C161)&lt;3), LEN(C161)&gt;60, AND(D161&lt;&gt;"""", NOT(ISNUMBER(D161))), AND(ISNUMBER(D161), OR(D161&lt;0.01, D161&gt;999999999)), AND(COUNTA(D161:F161, H161:N161)&gt;0, C161=""""),                  
  AND(COUNTA(C161, H161:N161)&gt;0, D161=""""), LEN("&amp;"H161)&gt;50, AND(I161&lt;&gt;"""", NOT(ISNUMBER(I161))), AND(ISNUMBER(I161), OR(I161&lt;0, I161&gt;99998)), AND(L161&lt;&gt;"""", NOT(REGEXMATCH(L161&amp;"""", ""^\d{8,14}$"")))), ""Erro"", """")"),"")</f>
      </c>
    </row>
    <row r="162" ht="22.5" customHeight="true">
      <c r="A162" s="33" t="s">
        <v>505</v>
      </c>
      <c r="B162" s="34" t="str">
        <f t="shared" si="1"/>
      </c>
      <c r="C162" s="35" t="s">
        <v>506</v>
      </c>
      <c r="D162" s="36">
        <v>3550</v>
      </c>
      <c r="E162" s="37" t="s">
        <v>41</v>
      </c>
      <c r="F162" s="38"/>
      <c r="G162" s="39" t="str">
        <f t="shared" si="2"/>
      </c>
      <c r="H162" s="40" t="s">
        <v>507</v>
      </c>
      <c r="I162" s="41"/>
      <c r="J162" s="41"/>
      <c r="K162" s="41" t="s">
        <v>80</v>
      </c>
      <c r="L162" s="42" t="s">
        <v>44</v>
      </c>
      <c r="M162" s="43" t="s">
        <v>45</v>
      </c>
      <c r="N162" s="44" t="s">
        <v>47</v>
      </c>
      <c r="O162" s="45" t="s">
        <v>46</v>
      </c>
      <c r="P162" s="46" t="str">
        <f>IFERROR(__xludf.DUMMYFUNCTION("IF(OR(AND(C162&lt;&gt;"""", LEN(C162)&lt;3), LEN(C162)&gt;60, AND(D162&lt;&gt;"""", NOT(ISNUMBER(D162))), AND(ISNUMBER(D162), OR(D162&lt;0.01, D162&gt;999999999)), AND(COUNTA(D162:F162, H162:N162)&gt;0, C162=""""),                  
  AND(COUNTA(C162, H162:N162)&gt;0, D162=""""), LEN("&amp;"H162)&gt;50, AND(I162&lt;&gt;"""", NOT(ISNUMBER(I162))), AND(ISNUMBER(I162), OR(I162&lt;0, I162&gt;99998)), AND(L162&lt;&gt;"""", NOT(REGEXMATCH(L162&amp;"""", ""^\d{8,14}$"")))), ""Erro"", """")"),"")</f>
      </c>
    </row>
    <row r="163" ht="22.5" customHeight="true">
      <c r="A163" s="33" t="s">
        <v>508</v>
      </c>
      <c r="B163" s="34" t="str">
        <f t="shared" si="1"/>
      </c>
      <c r="C163" s="35" t="s">
        <v>509</v>
      </c>
      <c r="D163" s="36">
        <v>3850</v>
      </c>
      <c r="E163" s="37" t="s">
        <v>41</v>
      </c>
      <c r="F163" s="38"/>
      <c r="G163" s="39" t="str">
        <f t="shared" si="2"/>
      </c>
      <c r="H163" s="40" t="s">
        <v>510</v>
      </c>
      <c r="I163" s="41"/>
      <c r="J163" s="41"/>
      <c r="K163" s="41" t="s">
        <v>486</v>
      </c>
      <c r="L163" s="42" t="s">
        <v>44</v>
      </c>
      <c r="M163" s="43" t="s">
        <v>45</v>
      </c>
      <c r="N163" s="44" t="s">
        <v>47</v>
      </c>
      <c r="O163" s="45" t="s">
        <v>46</v>
      </c>
      <c r="P163" s="46" t="str">
        <f>IFERROR(__xludf.DUMMYFUNCTION("IF(OR(AND(C163&lt;&gt;"""", LEN(C163)&lt;3), LEN(C163)&gt;60, AND(D163&lt;&gt;"""", NOT(ISNUMBER(D163))), AND(ISNUMBER(D163), OR(D163&lt;0.01, D163&gt;999999999)), AND(COUNTA(D163:F163, H163:N163)&gt;0, C163=""""),                  
  AND(COUNTA(C163, H163:N163)&gt;0, D163=""""), LEN("&amp;"H163)&gt;50, AND(I163&lt;&gt;"""", NOT(ISNUMBER(I163))), AND(ISNUMBER(I163), OR(I163&lt;0, I163&gt;99998)), AND(L163&lt;&gt;"""", NOT(REGEXMATCH(L163&amp;"""", ""^\d{8,14}$"")))), ""Erro"", """")"),"")</f>
      </c>
    </row>
    <row r="164" ht="22.5" customHeight="true">
      <c r="A164" s="33" t="s">
        <v>511</v>
      </c>
      <c r="B164" s="34" t="str">
        <f t="shared" si="1"/>
      </c>
      <c r="C164" s="35" t="s">
        <v>512</v>
      </c>
      <c r="D164" s="36">
        <v>66900</v>
      </c>
      <c r="E164" s="37" t="s">
        <v>41</v>
      </c>
      <c r="F164" s="38"/>
      <c r="G164" s="39" t="str">
        <f t="shared" si="2"/>
      </c>
      <c r="H164" s="40" t="s">
        <v>513</v>
      </c>
      <c r="I164" s="41"/>
      <c r="J164" s="41"/>
      <c r="K164" s="41" t="s">
        <v>65</v>
      </c>
      <c r="L164" s="42" t="s">
        <v>44</v>
      </c>
      <c r="M164" s="43" t="s">
        <v>45</v>
      </c>
      <c r="N164" s="44" t="s">
        <v>47</v>
      </c>
      <c r="O164" s="45" t="s">
        <v>149</v>
      </c>
      <c r="P164" s="46" t="str">
        <f>IFERROR(__xludf.DUMMYFUNCTION("IF(OR(AND(C164&lt;&gt;"""", LEN(C164)&lt;3), LEN(C164)&gt;60, AND(D164&lt;&gt;"""", NOT(ISNUMBER(D164))), AND(ISNUMBER(D164), OR(D164&lt;0.01, D164&gt;999999999)), AND(COUNTA(D164:F164, H164:N164)&gt;0, C164=""""),                  
  AND(COUNTA(C164, H164:N164)&gt;0, D164=""""), LEN("&amp;"H164)&gt;50, AND(I164&lt;&gt;"""", NOT(ISNUMBER(I164))), AND(ISNUMBER(I164), OR(I164&lt;0, I164&gt;99998)), AND(L164&lt;&gt;"""", NOT(REGEXMATCH(L164&amp;"""", ""^\d{8,14}$"")))), ""Erro"", """")"),"")</f>
      </c>
    </row>
    <row r="165" ht="22.5" customHeight="true">
      <c r="A165" s="33" t="s">
        <v>514</v>
      </c>
      <c r="B165" s="34" t="str">
        <f t="shared" si="1"/>
      </c>
      <c r="C165" s="35" t="s">
        <v>515</v>
      </c>
      <c r="D165" s="36">
        <v>36050</v>
      </c>
      <c r="E165" s="37" t="s">
        <v>41</v>
      </c>
      <c r="F165" s="38"/>
      <c r="G165" s="39" t="str">
        <f t="shared" si="2"/>
      </c>
      <c r="H165" s="40" t="s">
        <v>516</v>
      </c>
      <c r="I165" s="41"/>
      <c r="J165" s="41"/>
      <c r="K165" s="41" t="s">
        <v>65</v>
      </c>
      <c r="L165" s="42" t="s">
        <v>44</v>
      </c>
      <c r="M165" s="43" t="s">
        <v>45</v>
      </c>
      <c r="N165" s="44" t="s">
        <v>47</v>
      </c>
      <c r="O165" s="45" t="s">
        <v>46</v>
      </c>
      <c r="P165" s="46" t="str">
        <f>IFERROR(__xludf.DUMMYFUNCTION("IF(OR(AND(C165&lt;&gt;"""", LEN(C165)&lt;3), LEN(C165)&gt;60, AND(D165&lt;&gt;"""", NOT(ISNUMBER(D165))), AND(ISNUMBER(D165), OR(D165&lt;0.01, D165&gt;999999999)), AND(COUNTA(D165:F165, H165:N165)&gt;0, C165=""""),                  
  AND(COUNTA(C165, H165:N165)&gt;0, D165=""""), LEN("&amp;"H165)&gt;50, AND(I165&lt;&gt;"""", NOT(ISNUMBER(I165))), AND(ISNUMBER(I165), OR(I165&lt;0, I165&gt;99998)), AND(L165&lt;&gt;"""", NOT(REGEXMATCH(L165&amp;"""", ""^\d{8,14}$"")))), ""Erro"", """")"),"")</f>
      </c>
    </row>
    <row r="166" ht="22.5" customHeight="true">
      <c r="A166" s="33" t="s">
        <v>517</v>
      </c>
      <c r="B166" s="34" t="str">
        <f t="shared" si="1"/>
      </c>
      <c r="C166" s="35" t="s">
        <v>518</v>
      </c>
      <c r="D166" s="36">
        <v>70920</v>
      </c>
      <c r="E166" s="37" t="s">
        <v>41</v>
      </c>
      <c r="F166" s="38"/>
      <c r="G166" s="39" t="str">
        <f t="shared" si="2"/>
      </c>
      <c r="H166" s="40" t="s">
        <v>519</v>
      </c>
      <c r="I166" s="41"/>
      <c r="J166" s="41"/>
      <c r="K166" s="41" t="s">
        <v>65</v>
      </c>
      <c r="L166" s="42" t="s">
        <v>44</v>
      </c>
      <c r="M166" s="43" t="s">
        <v>45</v>
      </c>
      <c r="N166" s="44" t="s">
        <v>47</v>
      </c>
      <c r="O166" s="45" t="s">
        <v>46</v>
      </c>
      <c r="P166" s="46" t="str">
        <f>IFERROR(__xludf.DUMMYFUNCTION("IF(OR(AND(C166&lt;&gt;"""", LEN(C166)&lt;3), LEN(C166)&gt;60, AND(D166&lt;&gt;"""", NOT(ISNUMBER(D166))), AND(ISNUMBER(D166), OR(D166&lt;0.01, D166&gt;999999999)), AND(COUNTA(D166:F166, H166:N166)&gt;0, C166=""""),                  
  AND(COUNTA(C166, H166:N166)&gt;0, D166=""""), LEN("&amp;"H166)&gt;50, AND(I166&lt;&gt;"""", NOT(ISNUMBER(I166))), AND(ISNUMBER(I166), OR(I166&lt;0, I166&gt;99998)), AND(L166&lt;&gt;"""", NOT(REGEXMATCH(L166&amp;"""", ""^\d{8,14}$"")))), ""Erro"", """")"),"")</f>
      </c>
    </row>
    <row r="167" ht="22.5" customHeight="true">
      <c r="A167" s="33" t="s">
        <v>520</v>
      </c>
      <c r="B167" s="34" t="str">
        <f t="shared" si="1"/>
      </c>
      <c r="C167" s="35" t="s">
        <v>521</v>
      </c>
      <c r="D167" s="36">
        <v>87480</v>
      </c>
      <c r="E167" s="37" t="s">
        <v>41</v>
      </c>
      <c r="F167" s="38"/>
      <c r="G167" s="39" t="str">
        <f t="shared" si="2"/>
      </c>
      <c r="H167" s="40" t="s">
        <v>522</v>
      </c>
      <c r="I167" s="41"/>
      <c r="J167" s="41"/>
      <c r="K167" s="41" t="s">
        <v>65</v>
      </c>
      <c r="L167" s="42" t="s">
        <v>44</v>
      </c>
      <c r="M167" s="43" t="s">
        <v>45</v>
      </c>
      <c r="N167" s="44" t="s">
        <v>47</v>
      </c>
      <c r="O167" s="45" t="s">
        <v>46</v>
      </c>
      <c r="P167" s="46" t="str">
        <f>IFERROR(__xludf.DUMMYFUNCTION("IF(OR(AND(C167&lt;&gt;"""", LEN(C167)&lt;3), LEN(C167)&gt;60, AND(D167&lt;&gt;"""", NOT(ISNUMBER(D167))), AND(ISNUMBER(D167), OR(D167&lt;0.01, D167&gt;999999999)), AND(COUNTA(D167:F167, H167:N167)&gt;0, C167=""""),                  
  AND(COUNTA(C167, H167:N167)&gt;0, D167=""""), LEN("&amp;"H167)&gt;50, AND(I167&lt;&gt;"""", NOT(ISNUMBER(I167))), AND(ISNUMBER(I167), OR(I167&lt;0, I167&gt;99998)), AND(L167&lt;&gt;"""", NOT(REGEXMATCH(L167&amp;"""", ""^\d{8,14}$"")))), ""Erro"", """")"),"")</f>
      </c>
    </row>
    <row r="168" ht="22.5" customHeight="true">
      <c r="A168" s="33" t="s">
        <v>523</v>
      </c>
      <c r="B168" s="34" t="str">
        <f t="shared" si="1"/>
      </c>
      <c r="C168" s="35" t="s">
        <v>524</v>
      </c>
      <c r="D168" s="36">
        <v>63325</v>
      </c>
      <c r="E168" s="37" t="s">
        <v>41</v>
      </c>
      <c r="F168" s="38"/>
      <c r="G168" s="39" t="str">
        <f t="shared" si="2"/>
      </c>
      <c r="H168" s="40" t="s">
        <v>525</v>
      </c>
      <c r="I168" s="41"/>
      <c r="J168" s="41"/>
      <c r="K168" s="41" t="s">
        <v>65</v>
      </c>
      <c r="L168" s="42" t="s">
        <v>44</v>
      </c>
      <c r="M168" s="43" t="s">
        <v>45</v>
      </c>
      <c r="N168" s="44" t="s">
        <v>47</v>
      </c>
      <c r="O168" s="45" t="s">
        <v>46</v>
      </c>
      <c r="P168" s="46" t="str">
        <f>IFERROR(__xludf.DUMMYFUNCTION("IF(OR(AND(C168&lt;&gt;"""", LEN(C168)&lt;3), LEN(C168)&gt;60, AND(D168&lt;&gt;"""", NOT(ISNUMBER(D168))), AND(ISNUMBER(D168), OR(D168&lt;0.01, D168&gt;999999999)), AND(COUNTA(D168:F168, H168:N168)&gt;0, C168=""""),                  
  AND(COUNTA(C168, H168:N168)&gt;0, D168=""""), LEN("&amp;"H168)&gt;50, AND(I168&lt;&gt;"""", NOT(ISNUMBER(I168))), AND(ISNUMBER(I168), OR(I168&lt;0, I168&gt;99998)), AND(L168&lt;&gt;"""", NOT(REGEXMATCH(L168&amp;"""", ""^\d{8,14}$"")))), ""Erro"", """")"),"")</f>
      </c>
    </row>
    <row r="169" ht="22.5" customHeight="true">
      <c r="A169" s="33" t="s">
        <v>526</v>
      </c>
      <c r="B169" s="34" t="str">
        <f t="shared" si="1"/>
      </c>
      <c r="C169" s="35" t="s">
        <v>527</v>
      </c>
      <c r="D169" s="36">
        <v>78200</v>
      </c>
      <c r="E169" s="37" t="s">
        <v>41</v>
      </c>
      <c r="F169" s="38"/>
      <c r="G169" s="39" t="str">
        <f t="shared" si="2"/>
      </c>
      <c r="H169" s="40" t="s">
        <v>528</v>
      </c>
      <c r="I169" s="41"/>
      <c r="J169" s="41"/>
      <c r="K169" s="41" t="s">
        <v>65</v>
      </c>
      <c r="L169" s="42" t="s">
        <v>44</v>
      </c>
      <c r="M169" s="43" t="s">
        <v>45</v>
      </c>
      <c r="N169" s="44" t="s">
        <v>47</v>
      </c>
      <c r="O169" s="45" t="s">
        <v>46</v>
      </c>
      <c r="P169" s="46" t="str">
        <f>IFERROR(__xludf.DUMMYFUNCTION("IF(OR(AND(C169&lt;&gt;"""", LEN(C169)&lt;3), LEN(C169)&gt;60, AND(D169&lt;&gt;"""", NOT(ISNUMBER(D169))), AND(ISNUMBER(D169), OR(D169&lt;0.01, D169&gt;999999999)), AND(COUNTA(D169:F169, H169:N169)&gt;0, C169=""""),                  
  AND(COUNTA(C169, H169:N169)&gt;0, D169=""""), LEN("&amp;"H169)&gt;50, AND(I169&lt;&gt;"""", NOT(ISNUMBER(I169))), AND(ISNUMBER(I169), OR(I169&lt;0, I169&gt;99998)), AND(L169&lt;&gt;"""", NOT(REGEXMATCH(L169&amp;"""", ""^\d{8,14}$"")))), ""Erro"", """")"),"")</f>
      </c>
    </row>
    <row r="170" ht="22.5" customHeight="true">
      <c r="A170" s="33" t="s">
        <v>529</v>
      </c>
      <c r="B170" s="34" t="str">
        <f t="shared" si="1"/>
      </c>
      <c r="C170" s="35" t="s">
        <v>530</v>
      </c>
      <c r="D170" s="36">
        <v>63750</v>
      </c>
      <c r="E170" s="37" t="s">
        <v>41</v>
      </c>
      <c r="F170" s="38"/>
      <c r="G170" s="39" t="str">
        <f t="shared" si="2"/>
      </c>
      <c r="H170" s="40" t="s">
        <v>531</v>
      </c>
      <c r="I170" s="41"/>
      <c r="J170" s="41"/>
      <c r="K170" s="41" t="s">
        <v>65</v>
      </c>
      <c r="L170" s="42" t="s">
        <v>44</v>
      </c>
      <c r="M170" s="43" t="s">
        <v>45</v>
      </c>
      <c r="N170" s="44" t="s">
        <v>47</v>
      </c>
      <c r="O170" s="45" t="s">
        <v>46</v>
      </c>
      <c r="P170" s="46" t="str">
        <f>IFERROR(__xludf.DUMMYFUNCTION("IF(OR(AND(C170&lt;&gt;"""", LEN(C170)&lt;3), LEN(C170)&gt;60, AND(D170&lt;&gt;"""", NOT(ISNUMBER(D170))), AND(ISNUMBER(D170), OR(D170&lt;0.01, D170&gt;999999999)), AND(COUNTA(D170:F170, H170:N170)&gt;0, C170=""""),                  
  AND(COUNTA(C170, H170:N170)&gt;0, D170=""""), LEN("&amp;"H170)&gt;50, AND(I170&lt;&gt;"""", NOT(ISNUMBER(I170))), AND(ISNUMBER(I170), OR(I170&lt;0, I170&gt;99998)), AND(L170&lt;&gt;"""", NOT(REGEXMATCH(L170&amp;"""", ""^\d{8,14}$"")))), ""Erro"", """")"),"")</f>
      </c>
    </row>
    <row r="171" ht="22.5" customHeight="true">
      <c r="A171" s="33" t="s">
        <v>532</v>
      </c>
      <c r="B171" s="34" t="str">
        <f t="shared" si="1"/>
      </c>
      <c r="C171" s="35" t="s">
        <v>533</v>
      </c>
      <c r="D171" s="36">
        <v>70380</v>
      </c>
      <c r="E171" s="37" t="s">
        <v>41</v>
      </c>
      <c r="F171" s="38"/>
      <c r="G171" s="39" t="str">
        <f t="shared" si="2"/>
      </c>
      <c r="H171" s="40" t="s">
        <v>534</v>
      </c>
      <c r="I171" s="41"/>
      <c r="J171" s="41"/>
      <c r="K171" s="41" t="s">
        <v>65</v>
      </c>
      <c r="L171" s="42" t="s">
        <v>44</v>
      </c>
      <c r="M171" s="43" t="s">
        <v>45</v>
      </c>
      <c r="N171" s="44" t="s">
        <v>47</v>
      </c>
      <c r="O171" s="45" t="s">
        <v>46</v>
      </c>
      <c r="P171" s="46" t="str">
        <f>IFERROR(__xludf.DUMMYFUNCTION("IF(OR(AND(C171&lt;&gt;"""", LEN(C171)&lt;3), LEN(C171)&gt;60, AND(D171&lt;&gt;"""", NOT(ISNUMBER(D171))), AND(ISNUMBER(D171), OR(D171&lt;0.01, D171&gt;999999999)), AND(COUNTA(D171:F171, H171:N171)&gt;0, C171=""""),                  
  AND(COUNTA(C171, H171:N171)&gt;0, D171=""""), LEN("&amp;"H171)&gt;50, AND(I171&lt;&gt;"""", NOT(ISNUMBER(I171))), AND(ISNUMBER(I171), OR(I171&lt;0, I171&gt;99998)), AND(L171&lt;&gt;"""", NOT(REGEXMATCH(L171&amp;"""", ""^\d{8,14}$"")))), ""Erro"", """")"),"")</f>
      </c>
    </row>
    <row r="172" ht="22.5" customHeight="true">
      <c r="A172" s="33" t="s">
        <v>535</v>
      </c>
      <c r="B172" s="34" t="str">
        <f t="shared" si="1"/>
      </c>
      <c r="C172" s="35" t="s">
        <v>536</v>
      </c>
      <c r="D172" s="36">
        <v>5400</v>
      </c>
      <c r="E172" s="37" t="s">
        <v>41</v>
      </c>
      <c r="F172" s="38"/>
      <c r="G172" s="39" t="str">
        <f t="shared" si="2"/>
      </c>
      <c r="H172" s="40" t="s">
        <v>537</v>
      </c>
      <c r="I172" s="41"/>
      <c r="J172" s="41"/>
      <c r="K172" s="41" t="s">
        <v>65</v>
      </c>
      <c r="L172" s="42" t="s">
        <v>44</v>
      </c>
      <c r="M172" s="43" t="s">
        <v>45</v>
      </c>
      <c r="N172" s="44" t="s">
        <v>47</v>
      </c>
      <c r="O172" s="45" t="s">
        <v>46</v>
      </c>
      <c r="P172" s="46" t="str">
        <f>IFERROR(__xludf.DUMMYFUNCTION("IF(OR(AND(C172&lt;&gt;"""", LEN(C172)&lt;3), LEN(C172)&gt;60, AND(D172&lt;&gt;"""", NOT(ISNUMBER(D172))), AND(ISNUMBER(D172), OR(D172&lt;0.01, D172&gt;999999999)), AND(COUNTA(D172:F172, H172:N172)&gt;0, C172=""""),                  
  AND(COUNTA(C172, H172:N172)&gt;0, D172=""""), LEN("&amp;"H172)&gt;50, AND(I172&lt;&gt;"""", NOT(ISNUMBER(I172))), AND(ISNUMBER(I172), OR(I172&lt;0, I172&gt;99998)), AND(L172&lt;&gt;"""", NOT(REGEXMATCH(L172&amp;"""", ""^\d{8,14}$"")))), ""Erro"", """")"),"")</f>
      </c>
    </row>
    <row r="173" ht="22.5" customHeight="true">
      <c r="A173" s="33" t="s">
        <v>538</v>
      </c>
      <c r="B173" s="34" t="str">
        <f t="shared" si="1"/>
      </c>
      <c r="C173" s="35" t="s">
        <v>539</v>
      </c>
      <c r="D173" s="36">
        <v>3500</v>
      </c>
      <c r="E173" s="37" t="s">
        <v>41</v>
      </c>
      <c r="F173" s="38"/>
      <c r="G173" s="39" t="str">
        <f t="shared" si="2"/>
      </c>
      <c r="H173" s="40" t="s">
        <v>44</v>
      </c>
      <c r="I173" s="41"/>
      <c r="J173" s="41"/>
      <c r="K173" s="41" t="s">
        <v>486</v>
      </c>
      <c r="L173" s="42" t="s">
        <v>44</v>
      </c>
      <c r="M173" s="43" t="s">
        <v>45</v>
      </c>
      <c r="N173" s="44" t="s">
        <v>47</v>
      </c>
      <c r="O173" s="45" t="s">
        <v>66</v>
      </c>
      <c r="P173" s="46" t="str">
        <f>IFERROR(__xludf.DUMMYFUNCTION("IF(OR(AND(C173&lt;&gt;"""", LEN(C173)&lt;3), LEN(C173)&gt;60, AND(D173&lt;&gt;"""", NOT(ISNUMBER(D173))), AND(ISNUMBER(D173), OR(D173&lt;0.01, D173&gt;999999999)), AND(COUNTA(D173:F173, H173:N173)&gt;0, C173=""""),                  
  AND(COUNTA(C173, H173:N173)&gt;0, D173=""""), LEN("&amp;"H173)&gt;50, AND(I173&lt;&gt;"""", NOT(ISNUMBER(I173))), AND(ISNUMBER(I173), OR(I173&lt;0, I173&gt;99998)), AND(L173&lt;&gt;"""", NOT(REGEXMATCH(L173&amp;"""", ""^\d{8,14}$"")))), ""Erro"", """")"),"")</f>
      </c>
    </row>
    <row r="174" ht="22.5" customHeight="true">
      <c r="A174" s="33" t="s">
        <v>540</v>
      </c>
      <c r="B174" s="34" t="str">
        <f t="shared" si="1"/>
      </c>
      <c r="C174" s="35" t="s">
        <v>541</v>
      </c>
      <c r="D174" s="36">
        <v>40000</v>
      </c>
      <c r="E174" s="37" t="s">
        <v>41</v>
      </c>
      <c r="F174" s="38"/>
      <c r="G174" s="39" t="str">
        <f t="shared" si="2"/>
      </c>
      <c r="H174" s="40" t="s">
        <v>542</v>
      </c>
      <c r="I174" s="41"/>
      <c r="J174" s="41"/>
      <c r="K174" s="41" t="s">
        <v>65</v>
      </c>
      <c r="L174" s="42" t="s">
        <v>44</v>
      </c>
      <c r="M174" s="43" t="s">
        <v>45</v>
      </c>
      <c r="N174" s="44" t="s">
        <v>47</v>
      </c>
      <c r="O174" s="45" t="s">
        <v>46</v>
      </c>
      <c r="P174" s="46" t="str">
        <f>IFERROR(__xludf.DUMMYFUNCTION("IF(OR(AND(C174&lt;&gt;"""", LEN(C174)&lt;3), LEN(C174)&gt;60, AND(D174&lt;&gt;"""", NOT(ISNUMBER(D174))), AND(ISNUMBER(D174), OR(D174&lt;0.01, D174&gt;999999999)), AND(COUNTA(D174:F174, H174:N174)&gt;0, C174=""""),                  
  AND(COUNTA(C174, H174:N174)&gt;0, D174=""""), LEN("&amp;"H174)&gt;50, AND(I174&lt;&gt;"""", NOT(ISNUMBER(I174))), AND(ISNUMBER(I174), OR(I174&lt;0, I174&gt;99998)), AND(L174&lt;&gt;"""", NOT(REGEXMATCH(L174&amp;"""", ""^\d{8,14}$"")))), ""Erro"", """")"),"")</f>
      </c>
    </row>
    <row r="175" ht="22.5" customHeight="true">
      <c r="A175" s="33" t="s">
        <v>543</v>
      </c>
      <c r="B175" s="34" t="str">
        <f t="shared" si="1"/>
      </c>
      <c r="C175" s="35" t="s">
        <v>544</v>
      </c>
      <c r="D175" s="36">
        <v>1100</v>
      </c>
      <c r="E175" s="37" t="s">
        <v>41</v>
      </c>
      <c r="F175" s="38"/>
      <c r="G175" s="39" t="str">
        <f t="shared" si="2"/>
      </c>
      <c r="H175" s="40" t="s">
        <v>545</v>
      </c>
      <c r="I175" s="41"/>
      <c r="J175" s="41"/>
      <c r="K175" s="41" t="s">
        <v>174</v>
      </c>
      <c r="L175" s="42" t="s">
        <v>44</v>
      </c>
      <c r="M175" s="43" t="s">
        <v>45</v>
      </c>
      <c r="N175" s="44" t="s">
        <v>47</v>
      </c>
      <c r="O175" s="45" t="s">
        <v>46</v>
      </c>
      <c r="P175" s="46" t="str">
        <f>IFERROR(__xludf.DUMMYFUNCTION("IF(OR(AND(C175&lt;&gt;"""", LEN(C175)&lt;3), LEN(C175)&gt;60, AND(D175&lt;&gt;"""", NOT(ISNUMBER(D175))), AND(ISNUMBER(D175), OR(D175&lt;0.01, D175&gt;999999999)), AND(COUNTA(D175:F175, H175:N175)&gt;0, C175=""""),                  
  AND(COUNTA(C175, H175:N175)&gt;0, D175=""""), LEN("&amp;"H175)&gt;50, AND(I175&lt;&gt;"""", NOT(ISNUMBER(I175))), AND(ISNUMBER(I175), OR(I175&lt;0, I175&gt;99998)), AND(L175&lt;&gt;"""", NOT(REGEXMATCH(L175&amp;"""", ""^\d{8,14}$"")))), ""Erro"", """")"),"")</f>
      </c>
    </row>
    <row r="176" ht="22.5" customHeight="true">
      <c r="A176" s="33" t="s">
        <v>546</v>
      </c>
      <c r="B176" s="34" t="str">
        <f t="shared" si="1"/>
      </c>
      <c r="C176" s="35" t="s">
        <v>547</v>
      </c>
      <c r="D176" s="36">
        <v>1200</v>
      </c>
      <c r="E176" s="37" t="s">
        <v>41</v>
      </c>
      <c r="F176" s="38"/>
      <c r="G176" s="39" t="str">
        <f t="shared" si="2"/>
      </c>
      <c r="H176" s="40" t="s">
        <v>548</v>
      </c>
      <c r="I176" s="41"/>
      <c r="J176" s="41"/>
      <c r="K176" s="41" t="s">
        <v>174</v>
      </c>
      <c r="L176" s="42" t="s">
        <v>44</v>
      </c>
      <c r="M176" s="43" t="s">
        <v>45</v>
      </c>
      <c r="N176" s="44" t="s">
        <v>47</v>
      </c>
      <c r="O176" s="45" t="s">
        <v>46</v>
      </c>
      <c r="P176" s="46" t="str">
        <f>IFERROR(__xludf.DUMMYFUNCTION("IF(OR(AND(C176&lt;&gt;"""", LEN(C176)&lt;3), LEN(C176)&gt;60, AND(D176&lt;&gt;"""", NOT(ISNUMBER(D176))), AND(ISNUMBER(D176), OR(D176&lt;0.01, D176&gt;999999999)), AND(COUNTA(D176:F176, H176:N176)&gt;0, C176=""""),                  
  AND(COUNTA(C176, H176:N176)&gt;0, D176=""""), LEN("&amp;"H176)&gt;50, AND(I176&lt;&gt;"""", NOT(ISNUMBER(I176))), AND(ISNUMBER(I176), OR(I176&lt;0, I176&gt;99998)), AND(L176&lt;&gt;"""", NOT(REGEXMATCH(L176&amp;"""", ""^\d{8,14}$"")))), ""Erro"", """")"),"")</f>
      </c>
    </row>
    <row r="177" ht="22.5" customHeight="true">
      <c r="A177" s="33" t="s">
        <v>549</v>
      </c>
      <c r="B177" s="34" t="str">
        <f t="shared" si="1"/>
      </c>
      <c r="C177" s="35" t="s">
        <v>550</v>
      </c>
      <c r="D177" s="36">
        <v>13000</v>
      </c>
      <c r="E177" s="37" t="s">
        <v>41</v>
      </c>
      <c r="F177" s="38"/>
      <c r="G177" s="39" t="str">
        <f t="shared" si="2"/>
      </c>
      <c r="H177" s="40" t="s">
        <v>551</v>
      </c>
      <c r="I177" s="41"/>
      <c r="J177" s="41"/>
      <c r="K177" s="41" t="s">
        <v>174</v>
      </c>
      <c r="L177" s="42" t="s">
        <v>44</v>
      </c>
      <c r="M177" s="43" t="s">
        <v>45</v>
      </c>
      <c r="N177" s="44" t="s">
        <v>47</v>
      </c>
      <c r="O177" s="45" t="s">
        <v>58</v>
      </c>
      <c r="P177" s="46" t="str">
        <f>IFERROR(__xludf.DUMMYFUNCTION("IF(OR(AND(C177&lt;&gt;"""", LEN(C177)&lt;3), LEN(C177)&gt;60, AND(D177&lt;&gt;"""", NOT(ISNUMBER(D177))), AND(ISNUMBER(D177), OR(D177&lt;0.01, D177&gt;999999999)), AND(COUNTA(D177:F177, H177:N177)&gt;0, C177=""""),                  
  AND(COUNTA(C177, H177:N177)&gt;0, D177=""""), LEN("&amp;"H177)&gt;50, AND(I177&lt;&gt;"""", NOT(ISNUMBER(I177))), AND(ISNUMBER(I177), OR(I177&lt;0, I177&gt;99998)), AND(L177&lt;&gt;"""", NOT(REGEXMATCH(L177&amp;"""", ""^\d{8,14}$"")))), ""Erro"", """")"),"")</f>
      </c>
    </row>
    <row r="178" ht="22.5" customHeight="true">
      <c r="A178" s="33" t="s">
        <v>552</v>
      </c>
      <c r="B178" s="34" t="str">
        <f t="shared" si="1"/>
      </c>
      <c r="C178" s="35" t="s">
        <v>553</v>
      </c>
      <c r="D178" s="36">
        <v>628</v>
      </c>
      <c r="E178" s="37" t="s">
        <v>41</v>
      </c>
      <c r="F178" s="38"/>
      <c r="G178" s="39" t="str">
        <f t="shared" si="2"/>
      </c>
      <c r="H178" s="40" t="s">
        <v>554</v>
      </c>
      <c r="I178" s="41"/>
      <c r="J178" s="41"/>
      <c r="K178" s="41" t="s">
        <v>43</v>
      </c>
      <c r="L178" s="42" t="s">
        <v>44</v>
      </c>
      <c r="M178" s="43" t="s">
        <v>45</v>
      </c>
      <c r="N178" s="44" t="s">
        <v>47</v>
      </c>
      <c r="O178" s="45" t="s">
        <v>66</v>
      </c>
      <c r="P178" s="46" t="str">
        <f>IFERROR(__xludf.DUMMYFUNCTION("IF(OR(AND(C178&lt;&gt;"""", LEN(C178)&lt;3), LEN(C178)&gt;60, AND(D178&lt;&gt;"""", NOT(ISNUMBER(D178))), AND(ISNUMBER(D178), OR(D178&lt;0.01, D178&gt;999999999)), AND(COUNTA(D178:F178, H178:N178)&gt;0, C178=""""),                  
  AND(COUNTA(C178, H178:N178)&gt;0, D178=""""), LEN("&amp;"H178)&gt;50, AND(I178&lt;&gt;"""", NOT(ISNUMBER(I178))), AND(ISNUMBER(I178), OR(I178&lt;0, I178&gt;99998)), AND(L178&lt;&gt;"""", NOT(REGEXMATCH(L178&amp;"""", ""^\d{8,14}$"")))), ""Erro"", """")"),"")</f>
      </c>
    </row>
    <row r="179" ht="22.5" customHeight="true">
      <c r="A179" s="33" t="s">
        <v>555</v>
      </c>
      <c r="B179" s="34" t="str">
        <f t="shared" si="1"/>
      </c>
      <c r="C179" s="35" t="s">
        <v>556</v>
      </c>
      <c r="D179" s="36">
        <v>490</v>
      </c>
      <c r="E179" s="37" t="s">
        <v>41</v>
      </c>
      <c r="F179" s="38"/>
      <c r="G179" s="39" t="str">
        <f t="shared" si="2"/>
      </c>
      <c r="H179" s="40" t="s">
        <v>557</v>
      </c>
      <c r="I179" s="41"/>
      <c r="J179" s="41"/>
      <c r="K179" s="41" t="s">
        <v>43</v>
      </c>
      <c r="L179" s="42" t="s">
        <v>44</v>
      </c>
      <c r="M179" s="43" t="s">
        <v>45</v>
      </c>
      <c r="N179" s="44" t="s">
        <v>47</v>
      </c>
      <c r="O179" s="45" t="s">
        <v>46</v>
      </c>
      <c r="P179" s="46" t="str">
        <f>IFERROR(__xludf.DUMMYFUNCTION("IF(OR(AND(C179&lt;&gt;"""", LEN(C179)&lt;3), LEN(C179)&gt;60, AND(D179&lt;&gt;"""", NOT(ISNUMBER(D179))), AND(ISNUMBER(D179), OR(D179&lt;0.01, D179&gt;999999999)), AND(COUNTA(D179:F179, H179:N179)&gt;0, C179=""""),                  
  AND(COUNTA(C179, H179:N179)&gt;0, D179=""""), LEN("&amp;"H179)&gt;50, AND(I179&lt;&gt;"""", NOT(ISNUMBER(I179))), AND(ISNUMBER(I179), OR(I179&lt;0, I179&gt;99998)), AND(L179&lt;&gt;"""", NOT(REGEXMATCH(L179&amp;"""", ""^\d{8,14}$"")))), ""Erro"", """")"),"")</f>
      </c>
    </row>
    <row r="180" ht="22.5" customHeight="true">
      <c r="A180" s="33" t="s">
        <v>558</v>
      </c>
      <c r="B180" s="34" t="str">
        <f t="shared" si="1"/>
      </c>
      <c r="C180" s="35" t="s">
        <v>559</v>
      </c>
      <c r="D180" s="36">
        <v>312</v>
      </c>
      <c r="E180" s="37" t="s">
        <v>41</v>
      </c>
      <c r="F180" s="38"/>
      <c r="G180" s="39" t="str">
        <f t="shared" si="2"/>
      </c>
      <c r="H180" s="40" t="s">
        <v>560</v>
      </c>
      <c r="I180" s="41"/>
      <c r="J180" s="41"/>
      <c r="K180" s="41" t="s">
        <v>43</v>
      </c>
      <c r="L180" s="42" t="s">
        <v>44</v>
      </c>
      <c r="M180" s="43" t="s">
        <v>45</v>
      </c>
      <c r="N180" s="44" t="s">
        <v>47</v>
      </c>
      <c r="O180" s="45" t="s">
        <v>46</v>
      </c>
      <c r="P180" s="46" t="str">
        <f>IFERROR(__xludf.DUMMYFUNCTION("IF(OR(AND(C180&lt;&gt;"""", LEN(C180)&lt;3), LEN(C180)&gt;60, AND(D180&lt;&gt;"""", NOT(ISNUMBER(D180))), AND(ISNUMBER(D180), OR(D180&lt;0.01, D180&gt;999999999)), AND(COUNTA(D180:F180, H180:N180)&gt;0, C180=""""),                  
  AND(COUNTA(C180, H180:N180)&gt;0, D180=""""), LEN("&amp;"H180)&gt;50, AND(I180&lt;&gt;"""", NOT(ISNUMBER(I180))), AND(ISNUMBER(I180), OR(I180&lt;0, I180&gt;99998)), AND(L180&lt;&gt;"""", NOT(REGEXMATCH(L180&amp;"""", ""^\d{8,14}$"")))), ""Erro"", """")"),"")</f>
      </c>
    </row>
    <row r="181" ht="22.5" customHeight="true">
      <c r="A181" s="33" t="s">
        <v>561</v>
      </c>
      <c r="B181" s="34" t="str">
        <f t="shared" si="1"/>
      </c>
      <c r="C181" s="35" t="s">
        <v>562</v>
      </c>
      <c r="D181" s="36">
        <v>382</v>
      </c>
      <c r="E181" s="37" t="s">
        <v>41</v>
      </c>
      <c r="F181" s="38"/>
      <c r="G181" s="39" t="str">
        <f t="shared" si="2"/>
      </c>
      <c r="H181" s="40" t="s">
        <v>563</v>
      </c>
      <c r="I181" s="41"/>
      <c r="J181" s="41"/>
      <c r="K181" s="41" t="s">
        <v>43</v>
      </c>
      <c r="L181" s="42" t="s">
        <v>44</v>
      </c>
      <c r="M181" s="43" t="s">
        <v>45</v>
      </c>
      <c r="N181" s="44" t="s">
        <v>47</v>
      </c>
      <c r="O181" s="45" t="s">
        <v>46</v>
      </c>
      <c r="P181" s="46" t="str">
        <f>IFERROR(__xludf.DUMMYFUNCTION("IF(OR(AND(C181&lt;&gt;"""", LEN(C181)&lt;3), LEN(C181)&gt;60, AND(D181&lt;&gt;"""", NOT(ISNUMBER(D181))), AND(ISNUMBER(D181), OR(D181&lt;0.01, D181&gt;999999999)), AND(COUNTA(D181:F181, H181:N181)&gt;0, C181=""""),                  
  AND(COUNTA(C181, H181:N181)&gt;0, D181=""""), LEN("&amp;"H181)&gt;50, AND(I181&lt;&gt;"""", NOT(ISNUMBER(I181))), AND(ISNUMBER(I181), OR(I181&lt;0, I181&gt;99998)), AND(L181&lt;&gt;"""", NOT(REGEXMATCH(L181&amp;"""", ""^\d{8,14}$"")))), ""Erro"", """")"),"")</f>
      </c>
    </row>
    <row r="182" ht="22.5" customHeight="true">
      <c r="A182" s="33" t="s">
        <v>564</v>
      </c>
      <c r="B182" s="34" t="str">
        <f t="shared" si="1"/>
      </c>
      <c r="C182" s="35" t="s">
        <v>565</v>
      </c>
      <c r="D182" s="36">
        <v>6000</v>
      </c>
      <c r="E182" s="37" t="s">
        <v>41</v>
      </c>
      <c r="F182" s="38"/>
      <c r="G182" s="39" t="str">
        <f t="shared" si="2"/>
      </c>
      <c r="H182" s="40" t="s">
        <v>566</v>
      </c>
      <c r="I182" s="41"/>
      <c r="J182" s="41"/>
      <c r="K182" s="41" t="s">
        <v>70</v>
      </c>
      <c r="L182" s="42" t="s">
        <v>44</v>
      </c>
      <c r="M182" s="43" t="s">
        <v>567</v>
      </c>
      <c r="N182" s="44" t="s">
        <v>47</v>
      </c>
      <c r="O182" s="45" t="s">
        <v>46</v>
      </c>
      <c r="P182" s="46" t="str">
        <f>IFERROR(__xludf.DUMMYFUNCTION("IF(OR(AND(C182&lt;&gt;"""", LEN(C182)&lt;3), LEN(C182)&gt;60, AND(D182&lt;&gt;"""", NOT(ISNUMBER(D182))), AND(ISNUMBER(D182), OR(D182&lt;0.01, D182&gt;999999999)), AND(COUNTA(D182:F182, H182:N182)&gt;0, C182=""""),                  
  AND(COUNTA(C182, H182:N182)&gt;0, D182=""""), LEN("&amp;"H182)&gt;50, AND(I182&lt;&gt;"""", NOT(ISNUMBER(I182))), AND(ISNUMBER(I182), OR(I182&lt;0, I182&gt;99998)), AND(L182&lt;&gt;"""", NOT(REGEXMATCH(L182&amp;"""", ""^\d{8,14}$"")))), ""Erro"", """")"),"")</f>
      </c>
    </row>
    <row r="183" ht="22.5" customHeight="true">
      <c r="A183" s="33" t="s">
        <v>568</v>
      </c>
      <c r="B183" s="34" t="str">
        <f t="shared" si="1"/>
      </c>
      <c r="C183" s="35" t="s">
        <v>569</v>
      </c>
      <c r="D183" s="36">
        <v>2384</v>
      </c>
      <c r="E183" s="37" t="s">
        <v>41</v>
      </c>
      <c r="F183" s="38"/>
      <c r="G183" s="39" t="str">
        <f t="shared" si="2"/>
      </c>
      <c r="H183" s="40" t="s">
        <v>570</v>
      </c>
      <c r="I183" s="41"/>
      <c r="J183" s="41"/>
      <c r="K183" s="41" t="s">
        <v>43</v>
      </c>
      <c r="L183" s="42" t="s">
        <v>44</v>
      </c>
      <c r="M183" s="43" t="s">
        <v>45</v>
      </c>
      <c r="N183" s="44" t="s">
        <v>47</v>
      </c>
      <c r="O183" s="45" t="s">
        <v>46</v>
      </c>
      <c r="P183" s="46" t="str">
        <f>IFERROR(__xludf.DUMMYFUNCTION("IF(OR(AND(C183&lt;&gt;"""", LEN(C183)&lt;3), LEN(C183)&gt;60, AND(D183&lt;&gt;"""", NOT(ISNUMBER(D183))), AND(ISNUMBER(D183), OR(D183&lt;0.01, D183&gt;999999999)), AND(COUNTA(D183:F183, H183:N183)&gt;0, C183=""""),                  
  AND(COUNTA(C183, H183:N183)&gt;0, D183=""""), LEN("&amp;"H183)&gt;50, AND(I183&lt;&gt;"""", NOT(ISNUMBER(I183))), AND(ISNUMBER(I183), OR(I183&lt;0, I183&gt;99998)), AND(L183&lt;&gt;"""", NOT(REGEXMATCH(L183&amp;"""", ""^\d{8,14}$"")))), ""Erro"", """")"),"")</f>
      </c>
    </row>
    <row r="184" ht="22.5" customHeight="true">
      <c r="A184" s="33" t="s">
        <v>571</v>
      </c>
      <c r="B184" s="34" t="str">
        <f t="shared" si="1"/>
      </c>
      <c r="C184" s="35" t="s">
        <v>572</v>
      </c>
      <c r="D184" s="36">
        <v>4065</v>
      </c>
      <c r="E184" s="37" t="s">
        <v>41</v>
      </c>
      <c r="F184" s="38"/>
      <c r="G184" s="39" t="str">
        <f t="shared" si="2"/>
      </c>
      <c r="H184" s="40" t="s">
        <v>44</v>
      </c>
      <c r="I184" s="41"/>
      <c r="J184" s="41"/>
      <c r="K184" s="41" t="s">
        <v>43</v>
      </c>
      <c r="L184" s="42" t="s">
        <v>44</v>
      </c>
      <c r="M184" s="43" t="s">
        <v>45</v>
      </c>
      <c r="N184" s="44" t="s">
        <v>47</v>
      </c>
      <c r="O184" s="45" t="s">
        <v>46</v>
      </c>
      <c r="P184" s="46" t="str">
        <f>IFERROR(__xludf.DUMMYFUNCTION("IF(OR(AND(C184&lt;&gt;"""", LEN(C184)&lt;3), LEN(C184)&gt;60, AND(D184&lt;&gt;"""", NOT(ISNUMBER(D184))), AND(ISNUMBER(D184), OR(D184&lt;0.01, D184&gt;999999999)), AND(COUNTA(D184:F184, H184:N184)&gt;0, C184=""""),                  
  AND(COUNTA(C184, H184:N184)&gt;0, D184=""""), LEN("&amp;"H184)&gt;50, AND(I184&lt;&gt;"""", NOT(ISNUMBER(I184))), AND(ISNUMBER(I184), OR(I184&lt;0, I184&gt;99998)), AND(L184&lt;&gt;"""", NOT(REGEXMATCH(L184&amp;"""", ""^\d{8,14}$"")))), ""Erro"", """")"),"")</f>
      </c>
    </row>
    <row r="185" ht="22.5" customHeight="true">
      <c r="A185" s="33" t="s">
        <v>573</v>
      </c>
      <c r="B185" s="34" t="str">
        <f t="shared" si="1"/>
      </c>
      <c r="C185" s="35" t="s">
        <v>574</v>
      </c>
      <c r="D185" s="36">
        <v>2450</v>
      </c>
      <c r="E185" s="37" t="s">
        <v>41</v>
      </c>
      <c r="F185" s="38"/>
      <c r="G185" s="39" t="str">
        <f t="shared" si="2"/>
      </c>
      <c r="H185" s="40" t="s">
        <v>575</v>
      </c>
      <c r="I185" s="41"/>
      <c r="J185" s="41"/>
      <c r="K185" s="41" t="s">
        <v>54</v>
      </c>
      <c r="L185" s="42" t="s">
        <v>44</v>
      </c>
      <c r="M185" s="43" t="s">
        <v>45</v>
      </c>
      <c r="N185" s="44" t="s">
        <v>47</v>
      </c>
      <c r="O185" s="45" t="s">
        <v>46</v>
      </c>
      <c r="P185" s="46" t="str">
        <f>IFERROR(__xludf.DUMMYFUNCTION("IF(OR(AND(C185&lt;&gt;"""", LEN(C185)&lt;3), LEN(C185)&gt;60, AND(D185&lt;&gt;"""", NOT(ISNUMBER(D185))), AND(ISNUMBER(D185), OR(D185&lt;0.01, D185&gt;999999999)), AND(COUNTA(D185:F185, H185:N185)&gt;0, C185=""""),                  
  AND(COUNTA(C185, H185:N185)&gt;0, D185=""""), LEN("&amp;"H185)&gt;50, AND(I185&lt;&gt;"""", NOT(ISNUMBER(I185))), AND(ISNUMBER(I185), OR(I185&lt;0, I185&gt;99998)), AND(L185&lt;&gt;"""", NOT(REGEXMATCH(L185&amp;"""", ""^\d{8,14}$"")))), ""Erro"", """")"),"")</f>
      </c>
    </row>
    <row r="186" ht="22.5" customHeight="true">
      <c r="A186" s="33" t="s">
        <v>576</v>
      </c>
      <c r="B186" s="34" t="str">
        <f t="shared" si="1"/>
      </c>
      <c r="C186" s="35" t="s">
        <v>577</v>
      </c>
      <c r="D186" s="36">
        <v>1225</v>
      </c>
      <c r="E186" s="37" t="s">
        <v>41</v>
      </c>
      <c r="F186" s="38"/>
      <c r="G186" s="39" t="str">
        <f t="shared" si="2"/>
      </c>
      <c r="H186" s="40" t="s">
        <v>578</v>
      </c>
      <c r="I186" s="41"/>
      <c r="J186" s="41"/>
      <c r="K186" s="41" t="s">
        <v>54</v>
      </c>
      <c r="L186" s="42" t="s">
        <v>44</v>
      </c>
      <c r="M186" s="43" t="s">
        <v>45</v>
      </c>
      <c r="N186" s="44" t="s">
        <v>47</v>
      </c>
      <c r="O186" s="45" t="s">
        <v>46</v>
      </c>
      <c r="P186" s="46" t="str">
        <f>IFERROR(__xludf.DUMMYFUNCTION("IF(OR(AND(C186&lt;&gt;"""", LEN(C186)&lt;3), LEN(C186)&gt;60, AND(D186&lt;&gt;"""", NOT(ISNUMBER(D186))), AND(ISNUMBER(D186), OR(D186&lt;0.01, D186&gt;999999999)), AND(COUNTA(D186:F186, H186:N186)&gt;0, C186=""""),                  
  AND(COUNTA(C186, H186:N186)&gt;0, D186=""""), LEN("&amp;"H186)&gt;50, AND(I186&lt;&gt;"""", NOT(ISNUMBER(I186))), AND(ISNUMBER(I186), OR(I186&lt;0, I186&gt;99998)), AND(L186&lt;&gt;"""", NOT(REGEXMATCH(L186&amp;"""", ""^\d{8,14}$"")))), ""Erro"", """")"),"")</f>
      </c>
    </row>
    <row r="187" ht="22.5" customHeight="true">
      <c r="A187" s="33" t="s">
        <v>579</v>
      </c>
      <c r="B187" s="34" t="str">
        <f t="shared" si="1"/>
      </c>
      <c r="C187" s="35" t="s">
        <v>580</v>
      </c>
      <c r="D187" s="36">
        <v>16960</v>
      </c>
      <c r="E187" s="37" t="s">
        <v>41</v>
      </c>
      <c r="F187" s="38"/>
      <c r="G187" s="39" t="str">
        <f t="shared" si="2"/>
      </c>
      <c r="H187" s="40" t="s">
        <v>581</v>
      </c>
      <c r="I187" s="41"/>
      <c r="J187" s="41"/>
      <c r="K187" s="41" t="s">
        <v>582</v>
      </c>
      <c r="L187" s="42" t="s">
        <v>44</v>
      </c>
      <c r="M187" s="43" t="s">
        <v>45</v>
      </c>
      <c r="N187" s="44" t="s">
        <v>47</v>
      </c>
      <c r="O187" s="45" t="s">
        <v>46</v>
      </c>
      <c r="P187" s="46" t="str">
        <f>IFERROR(__xludf.DUMMYFUNCTION("IF(OR(AND(C187&lt;&gt;"""", LEN(C187)&lt;3), LEN(C187)&gt;60, AND(D187&lt;&gt;"""", NOT(ISNUMBER(D187))), AND(ISNUMBER(D187), OR(D187&lt;0.01, D187&gt;999999999)), AND(COUNTA(D187:F187, H187:N187)&gt;0, C187=""""),                  
  AND(COUNTA(C187, H187:N187)&gt;0, D187=""""), LEN("&amp;"H187)&gt;50, AND(I187&lt;&gt;"""", NOT(ISNUMBER(I187))), AND(ISNUMBER(I187), OR(I187&lt;0, I187&gt;99998)), AND(L187&lt;&gt;"""", NOT(REGEXMATCH(L187&amp;"""", ""^\d{8,14}$"")))), ""Erro"", """")"),"")</f>
      </c>
    </row>
    <row r="188" ht="22.5" customHeight="true">
      <c r="A188" s="33" t="s">
        <v>583</v>
      </c>
      <c r="B188" s="34" t="str">
        <f t="shared" si="1"/>
      </c>
      <c r="C188" s="35" t="s">
        <v>584</v>
      </c>
      <c r="D188" s="36">
        <v>17330</v>
      </c>
      <c r="E188" s="37" t="s">
        <v>41</v>
      </c>
      <c r="F188" s="38"/>
      <c r="G188" s="39" t="str">
        <f t="shared" si="2"/>
      </c>
      <c r="H188" s="40" t="s">
        <v>585</v>
      </c>
      <c r="I188" s="41"/>
      <c r="J188" s="41"/>
      <c r="K188" s="41" t="s">
        <v>582</v>
      </c>
      <c r="L188" s="42" t="s">
        <v>44</v>
      </c>
      <c r="M188" s="43" t="s">
        <v>45</v>
      </c>
      <c r="N188" s="44" t="s">
        <v>47</v>
      </c>
      <c r="O188" s="45" t="s">
        <v>46</v>
      </c>
      <c r="P188" s="46" t="str">
        <f>IFERROR(__xludf.DUMMYFUNCTION("IF(OR(AND(C188&lt;&gt;"""", LEN(C188)&lt;3), LEN(C188)&gt;60, AND(D188&lt;&gt;"""", NOT(ISNUMBER(D188))), AND(ISNUMBER(D188), OR(D188&lt;0.01, D188&gt;999999999)), AND(COUNTA(D188:F188, H188:N188)&gt;0, C188=""""),                  
  AND(COUNTA(C188, H188:N188)&gt;0, D188=""""), LEN("&amp;"H188)&gt;50, AND(I188&lt;&gt;"""", NOT(ISNUMBER(I188))), AND(ISNUMBER(I188), OR(I188&lt;0, I188&gt;99998)), AND(L188&lt;&gt;"""", NOT(REGEXMATCH(L188&amp;"""", ""^\d{8,14}$"")))), ""Erro"", """")"),"")</f>
      </c>
    </row>
    <row r="189" ht="22.5" customHeight="true">
      <c r="A189" s="33" t="s">
        <v>586</v>
      </c>
      <c r="B189" s="34" t="str">
        <f t="shared" si="1"/>
      </c>
      <c r="C189" s="35" t="s">
        <v>587</v>
      </c>
      <c r="D189" s="36">
        <v>9600</v>
      </c>
      <c r="E189" s="37" t="s">
        <v>41</v>
      </c>
      <c r="F189" s="38"/>
      <c r="G189" s="39" t="str">
        <f t="shared" si="2"/>
      </c>
      <c r="H189" s="40" t="s">
        <v>588</v>
      </c>
      <c r="I189" s="41"/>
      <c r="J189" s="41"/>
      <c r="K189" s="41" t="s">
        <v>582</v>
      </c>
      <c r="L189" s="42" t="s">
        <v>44</v>
      </c>
      <c r="M189" s="43" t="s">
        <v>45</v>
      </c>
      <c r="N189" s="44" t="s">
        <v>47</v>
      </c>
      <c r="O189" s="45" t="s">
        <v>46</v>
      </c>
      <c r="P189" s="46" t="str">
        <f>IFERROR(__xludf.DUMMYFUNCTION("IF(OR(AND(C189&lt;&gt;"""", LEN(C189)&lt;3), LEN(C189)&gt;60, AND(D189&lt;&gt;"""", NOT(ISNUMBER(D189))), AND(ISNUMBER(D189), OR(D189&lt;0.01, D189&gt;999999999)), AND(COUNTA(D189:F189, H189:N189)&gt;0, C189=""""),                  
  AND(COUNTA(C189, H189:N189)&gt;0, D189=""""), LEN("&amp;"H189)&gt;50, AND(I189&lt;&gt;"""", NOT(ISNUMBER(I189))), AND(ISNUMBER(I189), OR(I189&lt;0, I189&gt;99998)), AND(L189&lt;&gt;"""", NOT(REGEXMATCH(L189&amp;"""", ""^\d{8,14}$"")))), ""Erro"", """")"),"")</f>
      </c>
    </row>
    <row r="190" ht="22.5" customHeight="true">
      <c r="A190" s="33" t="s">
        <v>589</v>
      </c>
      <c r="B190" s="34" t="str">
        <f t="shared" si="1"/>
      </c>
      <c r="C190" s="35" t="s">
        <v>590</v>
      </c>
      <c r="D190" s="36">
        <v>42600</v>
      </c>
      <c r="E190" s="37" t="s">
        <v>41</v>
      </c>
      <c r="F190" s="38"/>
      <c r="G190" s="39" t="str">
        <f t="shared" si="2"/>
      </c>
      <c r="H190" s="40" t="s">
        <v>591</v>
      </c>
      <c r="I190" s="41"/>
      <c r="J190" s="41"/>
      <c r="K190" s="41" t="s">
        <v>582</v>
      </c>
      <c r="L190" s="42" t="s">
        <v>44</v>
      </c>
      <c r="M190" s="43" t="s">
        <v>45</v>
      </c>
      <c r="N190" s="44" t="s">
        <v>47</v>
      </c>
      <c r="O190" s="45" t="s">
        <v>46</v>
      </c>
      <c r="P190" s="46" t="str">
        <f>IFERROR(__xludf.DUMMYFUNCTION("IF(OR(AND(C190&lt;&gt;"""", LEN(C190)&lt;3), LEN(C190)&gt;60, AND(D190&lt;&gt;"""", NOT(ISNUMBER(D190))), AND(ISNUMBER(D190), OR(D190&lt;0.01, D190&gt;999999999)), AND(COUNTA(D190:F190, H190:N190)&gt;0, C190=""""),                  
  AND(COUNTA(C190, H190:N190)&gt;0, D190=""""), LEN("&amp;"H190)&gt;50, AND(I190&lt;&gt;"""", NOT(ISNUMBER(I190))), AND(ISNUMBER(I190), OR(I190&lt;0, I190&gt;99998)), AND(L190&lt;&gt;"""", NOT(REGEXMATCH(L190&amp;"""", ""^\d{8,14}$"")))), ""Erro"", """")"),"")</f>
      </c>
    </row>
    <row r="191" ht="22.5" customHeight="true">
      <c r="A191" s="33" t="s">
        <v>592</v>
      </c>
      <c r="B191" s="34" t="str">
        <f t="shared" si="1"/>
      </c>
      <c r="C191" s="35" t="s">
        <v>593</v>
      </c>
      <c r="D191" s="36">
        <v>1800</v>
      </c>
      <c r="E191" s="37" t="s">
        <v>41</v>
      </c>
      <c r="F191" s="38"/>
      <c r="G191" s="39" t="str">
        <f t="shared" si="2"/>
      </c>
      <c r="H191" s="40" t="s">
        <v>594</v>
      </c>
      <c r="I191" s="41"/>
      <c r="J191" s="41"/>
      <c r="K191" s="41" t="s">
        <v>582</v>
      </c>
      <c r="L191" s="42" t="s">
        <v>44</v>
      </c>
      <c r="M191" s="43" t="s">
        <v>45</v>
      </c>
      <c r="N191" s="44" t="s">
        <v>47</v>
      </c>
      <c r="O191" s="45" t="s">
        <v>46</v>
      </c>
      <c r="P191" s="46" t="str">
        <f>IFERROR(__xludf.DUMMYFUNCTION("IF(OR(AND(C191&lt;&gt;"""", LEN(C191)&lt;3), LEN(C191)&gt;60, AND(D191&lt;&gt;"""", NOT(ISNUMBER(D191))), AND(ISNUMBER(D191), OR(D191&lt;0.01, D191&gt;999999999)), AND(COUNTA(D191:F191, H191:N191)&gt;0, C191=""""),                  
  AND(COUNTA(C191, H191:N191)&gt;0, D191=""""), LEN("&amp;"H191)&gt;50, AND(I191&lt;&gt;"""", NOT(ISNUMBER(I191))), AND(ISNUMBER(I191), OR(I191&lt;0, I191&gt;99998)), AND(L191&lt;&gt;"""", NOT(REGEXMATCH(L191&amp;"""", ""^\d{8,14}$"")))), ""Erro"", """")"),"")</f>
      </c>
    </row>
    <row r="192" ht="22.5" customHeight="true">
      <c r="A192" s="33" t="s">
        <v>595</v>
      </c>
      <c r="B192" s="34" t="str">
        <f t="shared" si="1"/>
      </c>
      <c r="C192" s="35" t="s">
        <v>596</v>
      </c>
      <c r="D192" s="36">
        <v>5720</v>
      </c>
      <c r="E192" s="37" t="s">
        <v>41</v>
      </c>
      <c r="F192" s="38"/>
      <c r="G192" s="39" t="str">
        <f t="shared" si="2"/>
      </c>
      <c r="H192" s="40" t="s">
        <v>597</v>
      </c>
      <c r="I192" s="41"/>
      <c r="J192" s="41"/>
      <c r="K192" s="41" t="s">
        <v>582</v>
      </c>
      <c r="L192" s="42" t="s">
        <v>44</v>
      </c>
      <c r="M192" s="43" t="s">
        <v>45</v>
      </c>
      <c r="N192" s="44" t="s">
        <v>47</v>
      </c>
      <c r="O192" s="45" t="s">
        <v>46</v>
      </c>
      <c r="P192" s="46" t="str">
        <f>IFERROR(__xludf.DUMMYFUNCTION("IF(OR(AND(C192&lt;&gt;"""", LEN(C192)&lt;3), LEN(C192)&gt;60, AND(D192&lt;&gt;"""", NOT(ISNUMBER(D192))), AND(ISNUMBER(D192), OR(D192&lt;0.01, D192&gt;999999999)), AND(COUNTA(D192:F192, H192:N192)&gt;0, C192=""""),                  
  AND(COUNTA(C192, H192:N192)&gt;0, D192=""""), LEN("&amp;"H192)&gt;50, AND(I192&lt;&gt;"""", NOT(ISNUMBER(I192))), AND(ISNUMBER(I192), OR(I192&lt;0, I192&gt;99998)), AND(L192&lt;&gt;"""", NOT(REGEXMATCH(L192&amp;"""", ""^\d{8,14}$"")))), ""Erro"", """")"),"")</f>
      </c>
    </row>
    <row r="193" ht="22.5" customHeight="true">
      <c r="A193" s="33" t="s">
        <v>598</v>
      </c>
      <c r="B193" s="34" t="str">
        <f t="shared" si="1"/>
      </c>
      <c r="C193" s="35" t="s">
        <v>599</v>
      </c>
      <c r="D193" s="36">
        <v>12430</v>
      </c>
      <c r="E193" s="37" t="s">
        <v>41</v>
      </c>
      <c r="F193" s="38"/>
      <c r="G193" s="39" t="str">
        <f t="shared" si="2"/>
      </c>
      <c r="H193" s="40" t="s">
        <v>600</v>
      </c>
      <c r="I193" s="41"/>
      <c r="J193" s="41"/>
      <c r="K193" s="41" t="s">
        <v>582</v>
      </c>
      <c r="L193" s="42" t="s">
        <v>44</v>
      </c>
      <c r="M193" s="43" t="s">
        <v>45</v>
      </c>
      <c r="N193" s="44" t="s">
        <v>47</v>
      </c>
      <c r="O193" s="45" t="s">
        <v>46</v>
      </c>
      <c r="P193" s="46" t="str">
        <f>IFERROR(__xludf.DUMMYFUNCTION("IF(OR(AND(C193&lt;&gt;"""", LEN(C193)&lt;3), LEN(C193)&gt;60, AND(D193&lt;&gt;"""", NOT(ISNUMBER(D193))), AND(ISNUMBER(D193), OR(D193&lt;0.01, D193&gt;999999999)), AND(COUNTA(D193:F193, H193:N193)&gt;0, C193=""""),                  
  AND(COUNTA(C193, H193:N193)&gt;0, D193=""""), LEN("&amp;"H193)&gt;50, AND(I193&lt;&gt;"""", NOT(ISNUMBER(I193))), AND(ISNUMBER(I193), OR(I193&lt;0, I193&gt;99998)), AND(L193&lt;&gt;"""", NOT(REGEXMATCH(L193&amp;"""", ""^\d{8,14}$"")))), ""Erro"", """")"),"")</f>
      </c>
    </row>
    <row r="194" ht="22.5" customHeight="true">
      <c r="A194" s="33" t="s">
        <v>601</v>
      </c>
      <c r="B194" s="34" t="str">
        <f t="shared" si="1"/>
      </c>
      <c r="C194" s="35" t="s">
        <v>602</v>
      </c>
      <c r="D194" s="36">
        <v>1870</v>
      </c>
      <c r="E194" s="37" t="s">
        <v>41</v>
      </c>
      <c r="F194" s="38"/>
      <c r="G194" s="39" t="str">
        <f t="shared" si="2"/>
      </c>
      <c r="H194" s="40" t="s">
        <v>603</v>
      </c>
      <c r="I194" s="41"/>
      <c r="J194" s="41"/>
      <c r="K194" s="41" t="s">
        <v>582</v>
      </c>
      <c r="L194" s="42" t="s">
        <v>44</v>
      </c>
      <c r="M194" s="43" t="s">
        <v>45</v>
      </c>
      <c r="N194" s="44" t="s">
        <v>47</v>
      </c>
      <c r="O194" s="45" t="s">
        <v>46</v>
      </c>
      <c r="P194" s="46" t="str">
        <f>IFERROR(__xludf.DUMMYFUNCTION("IF(OR(AND(C194&lt;&gt;"""", LEN(C194)&lt;3), LEN(C194)&gt;60, AND(D194&lt;&gt;"""", NOT(ISNUMBER(D194))), AND(ISNUMBER(D194), OR(D194&lt;0.01, D194&gt;999999999)), AND(COUNTA(D194:F194, H194:N194)&gt;0, C194=""""),                  
  AND(COUNTA(C194, H194:N194)&gt;0, D194=""""), LEN("&amp;"H194)&gt;50, AND(I194&lt;&gt;"""", NOT(ISNUMBER(I194))), AND(ISNUMBER(I194), OR(I194&lt;0, I194&gt;99998)), AND(L194&lt;&gt;"""", NOT(REGEXMATCH(L194&amp;"""", ""^\d{8,14}$"")))), ""Erro"", """")"),"")</f>
      </c>
    </row>
    <row r="195" ht="22.5" customHeight="true">
      <c r="A195" s="33" t="s">
        <v>604</v>
      </c>
      <c r="B195" s="34" t="str">
        <f t="shared" si="1"/>
      </c>
      <c r="C195" s="35" t="s">
        <v>605</v>
      </c>
      <c r="D195" s="36">
        <v>20600</v>
      </c>
      <c r="E195" s="37" t="s">
        <v>41</v>
      </c>
      <c r="F195" s="38"/>
      <c r="G195" s="39" t="str">
        <f t="shared" si="2"/>
      </c>
      <c r="H195" s="40" t="s">
        <v>606</v>
      </c>
      <c r="I195" s="41"/>
      <c r="J195" s="41"/>
      <c r="K195" s="41" t="s">
        <v>582</v>
      </c>
      <c r="L195" s="42" t="s">
        <v>44</v>
      </c>
      <c r="M195" s="43" t="s">
        <v>45</v>
      </c>
      <c r="N195" s="44" t="s">
        <v>47</v>
      </c>
      <c r="O195" s="45" t="s">
        <v>46</v>
      </c>
      <c r="P195" s="46" t="str">
        <f>IFERROR(__xludf.DUMMYFUNCTION("IF(OR(AND(C195&lt;&gt;"""", LEN(C195)&lt;3), LEN(C195)&gt;60, AND(D195&lt;&gt;"""", NOT(ISNUMBER(D195))), AND(ISNUMBER(D195), OR(D195&lt;0.01, D195&gt;999999999)), AND(COUNTA(D195:F195, H195:N195)&gt;0, C195=""""),                  
  AND(COUNTA(C195, H195:N195)&gt;0, D195=""""), LEN("&amp;"H195)&gt;50, AND(I195&lt;&gt;"""", NOT(ISNUMBER(I195))), AND(ISNUMBER(I195), OR(I195&lt;0, I195&gt;99998)), AND(L195&lt;&gt;"""", NOT(REGEXMATCH(L195&amp;"""", ""^\d{8,14}$"")))), ""Erro"", """")"),"")</f>
      </c>
    </row>
    <row r="196" ht="22.5" customHeight="true">
      <c r="A196" s="33" t="s">
        <v>607</v>
      </c>
      <c r="B196" s="34" t="str">
        <f t="shared" si="1"/>
      </c>
      <c r="C196" s="35" t="s">
        <v>608</v>
      </c>
      <c r="D196" s="36">
        <v>1800</v>
      </c>
      <c r="E196" s="37" t="s">
        <v>41</v>
      </c>
      <c r="F196" s="38"/>
      <c r="G196" s="39" t="str">
        <f t="shared" si="2"/>
      </c>
      <c r="H196" s="40" t="s">
        <v>609</v>
      </c>
      <c r="I196" s="41"/>
      <c r="J196" s="41"/>
      <c r="K196" s="41" t="s">
        <v>582</v>
      </c>
      <c r="L196" s="42" t="s">
        <v>44</v>
      </c>
      <c r="M196" s="43" t="s">
        <v>45</v>
      </c>
      <c r="N196" s="44" t="s">
        <v>47</v>
      </c>
      <c r="O196" s="45" t="s">
        <v>46</v>
      </c>
      <c r="P196" s="46" t="str">
        <f>IFERROR(__xludf.DUMMYFUNCTION("IF(OR(AND(C196&lt;&gt;"""", LEN(C196)&lt;3), LEN(C196)&gt;60, AND(D196&lt;&gt;"""", NOT(ISNUMBER(D196))), AND(ISNUMBER(D196), OR(D196&lt;0.01, D196&gt;999999999)), AND(COUNTA(D196:F196, H196:N196)&gt;0, C196=""""),                  
  AND(COUNTA(C196, H196:N196)&gt;0, D196=""""), LEN("&amp;"H196)&gt;50, AND(I196&lt;&gt;"""", NOT(ISNUMBER(I196))), AND(ISNUMBER(I196), OR(I196&lt;0, I196&gt;99998)), AND(L196&lt;&gt;"""", NOT(REGEXMATCH(L196&amp;"""", ""^\d{8,14}$"")))), ""Erro"", """")"),"")</f>
      </c>
    </row>
    <row r="197" ht="22.5" customHeight="true">
      <c r="A197" s="33" t="s">
        <v>610</v>
      </c>
      <c r="B197" s="34" t="str">
        <f t="shared" si="1"/>
      </c>
      <c r="C197" s="35" t="s">
        <v>611</v>
      </c>
      <c r="D197" s="36">
        <v>53650</v>
      </c>
      <c r="E197" s="37" t="s">
        <v>41</v>
      </c>
      <c r="F197" s="38"/>
      <c r="G197" s="39" t="str">
        <f t="shared" si="2"/>
      </c>
      <c r="H197" s="40" t="s">
        <v>612</v>
      </c>
      <c r="I197" s="41"/>
      <c r="J197" s="41"/>
      <c r="K197" s="41" t="s">
        <v>582</v>
      </c>
      <c r="L197" s="42" t="s">
        <v>44</v>
      </c>
      <c r="M197" s="43" t="s">
        <v>45</v>
      </c>
      <c r="N197" s="44" t="s">
        <v>47</v>
      </c>
      <c r="O197" s="45" t="s">
        <v>46</v>
      </c>
      <c r="P197" s="46" t="str">
        <f>IFERROR(__xludf.DUMMYFUNCTION("IF(OR(AND(C197&lt;&gt;"""", LEN(C197)&lt;3), LEN(C197)&gt;60, AND(D197&lt;&gt;"""", NOT(ISNUMBER(D197))), AND(ISNUMBER(D197), OR(D197&lt;0.01, D197&gt;999999999)), AND(COUNTA(D197:F197, H197:N197)&gt;0, C197=""""),                  
  AND(COUNTA(C197, H197:N197)&gt;0, D197=""""), LEN("&amp;"H197)&gt;50, AND(I197&lt;&gt;"""", NOT(ISNUMBER(I197))), AND(ISNUMBER(I197), OR(I197&lt;0, I197&gt;99998)), AND(L197&lt;&gt;"""", NOT(REGEXMATCH(L197&amp;"""", ""^\d{8,14}$"")))), ""Erro"", """")"),"")</f>
      </c>
    </row>
    <row r="198" ht="22.5" customHeight="true">
      <c r="A198" s="33" t="s">
        <v>613</v>
      </c>
      <c r="B198" s="34" t="str">
        <f t="shared" si="1"/>
      </c>
      <c r="C198" s="35" t="s">
        <v>614</v>
      </c>
      <c r="D198" s="36">
        <v>38900</v>
      </c>
      <c r="E198" s="37" t="s">
        <v>41</v>
      </c>
      <c r="F198" s="38"/>
      <c r="G198" s="39" t="str">
        <f t="shared" si="2"/>
      </c>
      <c r="H198" s="40" t="s">
        <v>615</v>
      </c>
      <c r="I198" s="41"/>
      <c r="J198" s="41"/>
      <c r="K198" s="41" t="s">
        <v>582</v>
      </c>
      <c r="L198" s="42" t="s">
        <v>44</v>
      </c>
      <c r="M198" s="43" t="s">
        <v>45</v>
      </c>
      <c r="N198" s="44" t="s">
        <v>47</v>
      </c>
      <c r="O198" s="45" t="s">
        <v>46</v>
      </c>
      <c r="P198" s="46" t="str">
        <f>IFERROR(__xludf.DUMMYFUNCTION("IF(OR(AND(C198&lt;&gt;"""", LEN(C198)&lt;3), LEN(C198)&gt;60, AND(D198&lt;&gt;"""", NOT(ISNUMBER(D198))), AND(ISNUMBER(D198), OR(D198&lt;0.01, D198&gt;999999999)), AND(COUNTA(D198:F198, H198:N198)&gt;0, C198=""""),                  
  AND(COUNTA(C198, H198:N198)&gt;0, D198=""""), LEN("&amp;"H198)&gt;50, AND(I198&lt;&gt;"""", NOT(ISNUMBER(I198))), AND(ISNUMBER(I198), OR(I198&lt;0, I198&gt;99998)), AND(L198&lt;&gt;"""", NOT(REGEXMATCH(L198&amp;"""", ""^\d{8,14}$"")))), ""Erro"", """")"),"")</f>
      </c>
    </row>
    <row r="199" ht="22.5" customHeight="true">
      <c r="A199" s="33" t="s">
        <v>616</v>
      </c>
      <c r="B199" s="34" t="str">
        <f t="shared" si="1"/>
      </c>
      <c r="C199" s="35" t="s">
        <v>617</v>
      </c>
      <c r="D199" s="36">
        <v>10100</v>
      </c>
      <c r="E199" s="37" t="s">
        <v>41</v>
      </c>
      <c r="F199" s="38"/>
      <c r="G199" s="39" t="str">
        <f t="shared" si="2"/>
      </c>
      <c r="H199" s="40" t="s">
        <v>618</v>
      </c>
      <c r="I199" s="41"/>
      <c r="J199" s="41"/>
      <c r="K199" s="41" t="s">
        <v>582</v>
      </c>
      <c r="L199" s="42" t="s">
        <v>44</v>
      </c>
      <c r="M199" s="43" t="s">
        <v>45</v>
      </c>
      <c r="N199" s="44" t="s">
        <v>47</v>
      </c>
      <c r="O199" s="45" t="s">
        <v>46</v>
      </c>
      <c r="P199" s="46" t="str">
        <f>IFERROR(__xludf.DUMMYFUNCTION("IF(OR(AND(C199&lt;&gt;"""", LEN(C199)&lt;3), LEN(C199)&gt;60, AND(D199&lt;&gt;"""", NOT(ISNUMBER(D199))), AND(ISNUMBER(D199), OR(D199&lt;0.01, D199&gt;999999999)), AND(COUNTA(D199:F199, H199:N199)&gt;0, C199=""""),                  
  AND(COUNTA(C199, H199:N199)&gt;0, D199=""""), LEN("&amp;"H199)&gt;50, AND(I199&lt;&gt;"""", NOT(ISNUMBER(I199))), AND(ISNUMBER(I199), OR(I199&lt;0, I199&gt;99998)), AND(L199&lt;&gt;"""", NOT(REGEXMATCH(L199&amp;"""", ""^\d{8,14}$"")))), ""Erro"", """")"),"")</f>
      </c>
    </row>
    <row r="200" ht="22.5" customHeight="true">
      <c r="A200" s="33" t="s">
        <v>619</v>
      </c>
      <c r="B200" s="34" t="str">
        <f t="shared" si="1"/>
      </c>
      <c r="C200" s="35" t="s">
        <v>620</v>
      </c>
      <c r="D200" s="36">
        <v>12020</v>
      </c>
      <c r="E200" s="37" t="s">
        <v>41</v>
      </c>
      <c r="F200" s="38"/>
      <c r="G200" s="39" t="str">
        <f t="shared" si="2"/>
      </c>
      <c r="H200" s="40" t="s">
        <v>621</v>
      </c>
      <c r="I200" s="41"/>
      <c r="J200" s="41"/>
      <c r="K200" s="41" t="s">
        <v>582</v>
      </c>
      <c r="L200" s="42" t="s">
        <v>44</v>
      </c>
      <c r="M200" s="43" t="s">
        <v>45</v>
      </c>
      <c r="N200" s="44" t="s">
        <v>47</v>
      </c>
      <c r="O200" s="45" t="s">
        <v>46</v>
      </c>
      <c r="P200" s="46" t="str">
        <f>IFERROR(__xludf.DUMMYFUNCTION("IF(OR(AND(C200&lt;&gt;"""", LEN(C200)&lt;3), LEN(C200)&gt;60, AND(D200&lt;&gt;"""", NOT(ISNUMBER(D200))), AND(ISNUMBER(D200), OR(D200&lt;0.01, D200&gt;999999999)), AND(COUNTA(D200:F200, H200:N200)&gt;0, C200=""""),                  
  AND(COUNTA(C200, H200:N200)&gt;0, D200=""""), LEN("&amp;"H200)&gt;50, AND(I200&lt;&gt;"""", NOT(ISNUMBER(I200))), AND(ISNUMBER(I200), OR(I200&lt;0, I200&gt;99998)), AND(L200&lt;&gt;"""", NOT(REGEXMATCH(L200&amp;"""", ""^\d{8,14}$"")))), ""Erro"", """")"),"")</f>
      </c>
    </row>
    <row r="201" ht="22.5" customHeight="true">
      <c r="A201" s="33" t="s">
        <v>622</v>
      </c>
      <c r="B201" s="34" t="str">
        <f t="shared" si="1"/>
      </c>
      <c r="C201" s="35" t="s">
        <v>623</v>
      </c>
      <c r="D201" s="36">
        <v>1620</v>
      </c>
      <c r="E201" s="37" t="s">
        <v>41</v>
      </c>
      <c r="F201" s="38"/>
      <c r="G201" s="39" t="str">
        <f t="shared" si="2"/>
      </c>
      <c r="H201" s="40" t="s">
        <v>624</v>
      </c>
      <c r="I201" s="41"/>
      <c r="J201" s="41"/>
      <c r="K201" s="41" t="s">
        <v>582</v>
      </c>
      <c r="L201" s="42" t="s">
        <v>44</v>
      </c>
      <c r="M201" s="43" t="s">
        <v>45</v>
      </c>
      <c r="N201" s="44" t="s">
        <v>47</v>
      </c>
      <c r="O201" s="45" t="s">
        <v>46</v>
      </c>
      <c r="P201" s="46" t="str">
        <f>IFERROR(__xludf.DUMMYFUNCTION("IF(OR(AND(C201&lt;&gt;"""", LEN(C201)&lt;3), LEN(C201)&gt;60, AND(D201&lt;&gt;"""", NOT(ISNUMBER(D201))), AND(ISNUMBER(D201), OR(D201&lt;0.01, D201&gt;999999999)), AND(COUNTA(D201:F201, H201:N201)&gt;0, C201=""""),                  
  AND(COUNTA(C201, H201:N201)&gt;0, D201=""""), LEN("&amp;"H201)&gt;50, AND(I201&lt;&gt;"""", NOT(ISNUMBER(I201))), AND(ISNUMBER(I201), OR(I201&lt;0, I201&gt;99998)), AND(L201&lt;&gt;"""", NOT(REGEXMATCH(L201&amp;"""", ""^\d{8,14}$"")))), ""Erro"", """")"),"")</f>
      </c>
    </row>
    <row r="202" ht="22.5" customHeight="true">
      <c r="A202" s="33" t="s">
        <v>625</v>
      </c>
      <c r="B202" s="34" t="str">
        <f t="shared" si="1"/>
      </c>
      <c r="C202" s="35" t="s">
        <v>626</v>
      </c>
      <c r="D202" s="36">
        <v>87375</v>
      </c>
      <c r="E202" s="37" t="s">
        <v>41</v>
      </c>
      <c r="F202" s="38"/>
      <c r="G202" s="39" t="str">
        <f t="shared" si="2"/>
      </c>
      <c r="H202" s="40" t="s">
        <v>627</v>
      </c>
      <c r="I202" s="41"/>
      <c r="J202" s="41"/>
      <c r="K202" s="41" t="s">
        <v>582</v>
      </c>
      <c r="L202" s="42" t="s">
        <v>44</v>
      </c>
      <c r="M202" s="43" t="s">
        <v>45</v>
      </c>
      <c r="N202" s="44" t="s">
        <v>47</v>
      </c>
      <c r="O202" s="45" t="s">
        <v>46</v>
      </c>
      <c r="P202" s="46" t="str">
        <f>IFERROR(__xludf.DUMMYFUNCTION("IF(OR(AND(C202&lt;&gt;"""", LEN(C202)&lt;3), LEN(C202)&gt;60, AND(D202&lt;&gt;"""", NOT(ISNUMBER(D202))), AND(ISNUMBER(D202), OR(D202&lt;0.01, D202&gt;999999999)), AND(COUNTA(D202:F202, H202:N202)&gt;0, C202=""""),                  
  AND(COUNTA(C202, H202:N202)&gt;0, D202=""""), LEN("&amp;"H202)&gt;50, AND(I202&lt;&gt;"""", NOT(ISNUMBER(I202))), AND(ISNUMBER(I202), OR(I202&lt;0, I202&gt;99998)), AND(L202&lt;&gt;"""", NOT(REGEXMATCH(L202&amp;"""", ""^\d{8,14}$"")))), ""Erro"", """")"),"")</f>
      </c>
    </row>
    <row r="203" ht="22.5" customHeight="true">
      <c r="A203" s="33" t="s">
        <v>628</v>
      </c>
      <c r="B203" s="34" t="str">
        <f t="shared" si="1"/>
      </c>
      <c r="C203" s="35" t="s">
        <v>629</v>
      </c>
      <c r="D203" s="36">
        <v>14605</v>
      </c>
      <c r="E203" s="37" t="s">
        <v>41</v>
      </c>
      <c r="F203" s="38"/>
      <c r="G203" s="39" t="str">
        <f t="shared" si="2"/>
      </c>
      <c r="H203" s="40" t="s">
        <v>630</v>
      </c>
      <c r="I203" s="41"/>
      <c r="J203" s="41"/>
      <c r="K203" s="41" t="s">
        <v>582</v>
      </c>
      <c r="L203" s="42" t="s">
        <v>44</v>
      </c>
      <c r="M203" s="43" t="s">
        <v>45</v>
      </c>
      <c r="N203" s="44" t="s">
        <v>47</v>
      </c>
      <c r="O203" s="45" t="s">
        <v>46</v>
      </c>
      <c r="P203" s="46" t="str">
        <f>IFERROR(__xludf.DUMMYFUNCTION("IF(OR(AND(C203&lt;&gt;"""", LEN(C203)&lt;3), LEN(C203)&gt;60, AND(D203&lt;&gt;"""", NOT(ISNUMBER(D203))), AND(ISNUMBER(D203), OR(D203&lt;0.01, D203&gt;999999999)), AND(COUNTA(D203:F203, H203:N203)&gt;0, C203=""""),                  
  AND(COUNTA(C203, H203:N203)&gt;0, D203=""""), LEN("&amp;"H203)&gt;50, AND(I203&lt;&gt;"""", NOT(ISNUMBER(I203))), AND(ISNUMBER(I203), OR(I203&lt;0, I203&gt;99998)), AND(L203&lt;&gt;"""", NOT(REGEXMATCH(L203&amp;"""", ""^\d{8,14}$"")))), ""Erro"", """")"),"")</f>
      </c>
    </row>
    <row r="204" ht="22.5" customHeight="true">
      <c r="A204" s="33" t="s">
        <v>631</v>
      </c>
      <c r="B204" s="34" t="str">
        <f t="shared" si="1"/>
      </c>
      <c r="C204" s="35" t="s">
        <v>632</v>
      </c>
      <c r="D204" s="36">
        <v>30000</v>
      </c>
      <c r="E204" s="37" t="s">
        <v>41</v>
      </c>
      <c r="F204" s="38"/>
      <c r="G204" s="39" t="str">
        <f t="shared" si="2"/>
      </c>
      <c r="H204" s="40" t="s">
        <v>633</v>
      </c>
      <c r="I204" s="41"/>
      <c r="J204" s="41"/>
      <c r="K204" s="41" t="s">
        <v>582</v>
      </c>
      <c r="L204" s="42" t="s">
        <v>44</v>
      </c>
      <c r="M204" s="43" t="s">
        <v>45</v>
      </c>
      <c r="N204" s="44" t="s">
        <v>47</v>
      </c>
      <c r="O204" s="45" t="s">
        <v>46</v>
      </c>
      <c r="P204" s="46" t="str">
        <f>IFERROR(__xludf.DUMMYFUNCTION("IF(OR(AND(C204&lt;&gt;"""", LEN(C204)&lt;3), LEN(C204)&gt;60, AND(D204&lt;&gt;"""", NOT(ISNUMBER(D204))), AND(ISNUMBER(D204), OR(D204&lt;0.01, D204&gt;999999999)), AND(COUNTA(D204:F204, H204:N204)&gt;0, C204=""""),                  
  AND(COUNTA(C204, H204:N204)&gt;0, D204=""""), LEN("&amp;"H204)&gt;50, AND(I204&lt;&gt;"""", NOT(ISNUMBER(I204))), AND(ISNUMBER(I204), OR(I204&lt;0, I204&gt;99998)), AND(L204&lt;&gt;"""", NOT(REGEXMATCH(L204&amp;"""", ""^\d{8,14}$"")))), ""Erro"", """")"),"")</f>
      </c>
    </row>
    <row r="205" ht="22.5" customHeight="true">
      <c r="A205" s="33" t="s">
        <v>634</v>
      </c>
      <c r="B205" s="34" t="str">
        <f t="shared" si="1"/>
      </c>
      <c r="C205" s="35" t="s">
        <v>635</v>
      </c>
      <c r="D205" s="36">
        <v>5500</v>
      </c>
      <c r="E205" s="37" t="s">
        <v>41</v>
      </c>
      <c r="F205" s="38"/>
      <c r="G205" s="39" t="str">
        <f t="shared" si="2"/>
      </c>
      <c r="H205" s="40" t="s">
        <v>636</v>
      </c>
      <c r="I205" s="41"/>
      <c r="J205" s="41"/>
      <c r="K205" s="41" t="s">
        <v>582</v>
      </c>
      <c r="L205" s="42" t="s">
        <v>44</v>
      </c>
      <c r="M205" s="43" t="s">
        <v>45</v>
      </c>
      <c r="N205" s="44" t="s">
        <v>47</v>
      </c>
      <c r="O205" s="45" t="s">
        <v>46</v>
      </c>
      <c r="P205" s="46" t="str">
        <f>IFERROR(__xludf.DUMMYFUNCTION("IF(OR(AND(C205&lt;&gt;"""", LEN(C205)&lt;3), LEN(C205)&gt;60, AND(D205&lt;&gt;"""", NOT(ISNUMBER(D205))), AND(ISNUMBER(D205), OR(D205&lt;0.01, D205&gt;999999999)), AND(COUNTA(D205:F205, H205:N205)&gt;0, C205=""""),                  
  AND(COUNTA(C205, H205:N205)&gt;0, D205=""""), LEN("&amp;"H205)&gt;50, AND(I205&lt;&gt;"""", NOT(ISNUMBER(I205))), AND(ISNUMBER(I205), OR(I205&lt;0, I205&gt;99998)), AND(L205&lt;&gt;"""", NOT(REGEXMATCH(L205&amp;"""", ""^\d{8,14}$"")))), ""Erro"", """")"),"")</f>
      </c>
    </row>
    <row r="206" ht="22.5" customHeight="true">
      <c r="A206" s="33" t="s">
        <v>637</v>
      </c>
      <c r="B206" s="34" t="str">
        <f t="shared" si="1"/>
      </c>
      <c r="C206" s="35" t="s">
        <v>638</v>
      </c>
      <c r="D206" s="36">
        <v>6430</v>
      </c>
      <c r="E206" s="37" t="s">
        <v>41</v>
      </c>
      <c r="F206" s="38"/>
      <c r="G206" s="39" t="str">
        <f t="shared" si="2"/>
      </c>
      <c r="H206" s="40" t="s">
        <v>639</v>
      </c>
      <c r="I206" s="41"/>
      <c r="J206" s="41"/>
      <c r="K206" s="41" t="s">
        <v>582</v>
      </c>
      <c r="L206" s="42" t="s">
        <v>44</v>
      </c>
      <c r="M206" s="43" t="s">
        <v>45</v>
      </c>
      <c r="N206" s="44" t="s">
        <v>47</v>
      </c>
      <c r="O206" s="45" t="s">
        <v>46</v>
      </c>
      <c r="P206" s="46" t="str">
        <f>IFERROR(__xludf.DUMMYFUNCTION("IF(OR(AND(C206&lt;&gt;"""", LEN(C206)&lt;3), LEN(C206)&gt;60, AND(D206&lt;&gt;"""", NOT(ISNUMBER(D206))), AND(ISNUMBER(D206), OR(D206&lt;0.01, D206&gt;999999999)), AND(COUNTA(D206:F206, H206:N206)&gt;0, C206=""""),                  
  AND(COUNTA(C206, H206:N206)&gt;0, D206=""""), LEN("&amp;"H206)&gt;50, AND(I206&lt;&gt;"""", NOT(ISNUMBER(I206))), AND(ISNUMBER(I206), OR(I206&lt;0, I206&gt;99998)), AND(L206&lt;&gt;"""", NOT(REGEXMATCH(L206&amp;"""", ""^\d{8,14}$"")))), ""Erro"", """")"),"")</f>
      </c>
    </row>
    <row r="207" ht="22.5" customHeight="true">
      <c r="A207" s="33" t="s">
        <v>640</v>
      </c>
      <c r="B207" s="34" t="str">
        <f t="shared" si="1"/>
      </c>
      <c r="C207" s="35" t="s">
        <v>641</v>
      </c>
      <c r="D207" s="36">
        <v>1365</v>
      </c>
      <c r="E207" s="37" t="s">
        <v>41</v>
      </c>
      <c r="F207" s="38"/>
      <c r="G207" s="39" t="str">
        <f t="shared" si="2"/>
      </c>
      <c r="H207" s="40" t="s">
        <v>642</v>
      </c>
      <c r="I207" s="41"/>
      <c r="J207" s="41"/>
      <c r="K207" s="41" t="s">
        <v>582</v>
      </c>
      <c r="L207" s="42" t="s">
        <v>44</v>
      </c>
      <c r="M207" s="43" t="s">
        <v>45</v>
      </c>
      <c r="N207" s="44" t="s">
        <v>47</v>
      </c>
      <c r="O207" s="45" t="s">
        <v>46</v>
      </c>
      <c r="P207" s="46" t="str">
        <f>IFERROR(__xludf.DUMMYFUNCTION("IF(OR(AND(C207&lt;&gt;"""", LEN(C207)&lt;3), LEN(C207)&gt;60, AND(D207&lt;&gt;"""", NOT(ISNUMBER(D207))), AND(ISNUMBER(D207), OR(D207&lt;0.01, D207&gt;999999999)), AND(COUNTA(D207:F207, H207:N207)&gt;0, C207=""""),                  
  AND(COUNTA(C207, H207:N207)&gt;0, D207=""""), LEN("&amp;"H207)&gt;50, AND(I207&lt;&gt;"""", NOT(ISNUMBER(I207))), AND(ISNUMBER(I207), OR(I207&lt;0, I207&gt;99998)), AND(L207&lt;&gt;"""", NOT(REGEXMATCH(L207&amp;"""", ""^\d{8,14}$"")))), ""Erro"", """")"),"")</f>
      </c>
    </row>
    <row r="208" ht="22.5" customHeight="true">
      <c r="A208" s="33" t="s">
        <v>643</v>
      </c>
      <c r="B208" s="34" t="str">
        <f t="shared" si="1"/>
      </c>
      <c r="C208" s="35" t="s">
        <v>644</v>
      </c>
      <c r="D208" s="36">
        <v>3400</v>
      </c>
      <c r="E208" s="37" t="s">
        <v>41</v>
      </c>
      <c r="F208" s="38"/>
      <c r="G208" s="39" t="str">
        <f t="shared" si="2"/>
      </c>
      <c r="H208" s="40" t="s">
        <v>645</v>
      </c>
      <c r="I208" s="41"/>
      <c r="J208" s="41"/>
      <c r="K208" s="41" t="s">
        <v>582</v>
      </c>
      <c r="L208" s="42" t="s">
        <v>44</v>
      </c>
      <c r="M208" s="43" t="s">
        <v>45</v>
      </c>
      <c r="N208" s="44" t="s">
        <v>47</v>
      </c>
      <c r="O208" s="45" t="s">
        <v>46</v>
      </c>
      <c r="P208" s="46" t="str">
        <f>IFERROR(__xludf.DUMMYFUNCTION("IF(OR(AND(C208&lt;&gt;"""", LEN(C208)&lt;3), LEN(C208)&gt;60, AND(D208&lt;&gt;"""", NOT(ISNUMBER(D208))), AND(ISNUMBER(D208), OR(D208&lt;0.01, D208&gt;999999999)), AND(COUNTA(D208:F208, H208:N208)&gt;0, C208=""""),                  
  AND(COUNTA(C208, H208:N208)&gt;0, D208=""""), LEN("&amp;"H208)&gt;50, AND(I208&lt;&gt;"""", NOT(ISNUMBER(I208))), AND(ISNUMBER(I208), OR(I208&lt;0, I208&gt;99998)), AND(L208&lt;&gt;"""", NOT(REGEXMATCH(L208&amp;"""", ""^\d{8,14}$"")))), ""Erro"", """")"),"")</f>
      </c>
    </row>
    <row r="209" ht="22.5" customHeight="true">
      <c r="A209" s="33" t="s">
        <v>646</v>
      </c>
      <c r="B209" s="34" t="str">
        <f t="shared" si="1"/>
      </c>
      <c r="C209" s="35" t="s">
        <v>647</v>
      </c>
      <c r="D209" s="36">
        <v>26500</v>
      </c>
      <c r="E209" s="37" t="s">
        <v>41</v>
      </c>
      <c r="F209" s="38"/>
      <c r="G209" s="39" t="str">
        <f t="shared" si="2"/>
      </c>
      <c r="H209" s="40" t="s">
        <v>44</v>
      </c>
      <c r="I209" s="41"/>
      <c r="J209" s="41"/>
      <c r="K209" s="41" t="s">
        <v>65</v>
      </c>
      <c r="L209" s="42" t="s">
        <v>44</v>
      </c>
      <c r="M209" s="43" t="s">
        <v>45</v>
      </c>
      <c r="N209" s="44" t="s">
        <v>47</v>
      </c>
      <c r="O209" s="45" t="s">
        <v>46</v>
      </c>
      <c r="P209" s="46" t="str">
        <f>IFERROR(__xludf.DUMMYFUNCTION("IF(OR(AND(C209&lt;&gt;"""", LEN(C209)&lt;3), LEN(C209)&gt;60, AND(D209&lt;&gt;"""", NOT(ISNUMBER(D209))), AND(ISNUMBER(D209), OR(D209&lt;0.01, D209&gt;999999999)), AND(COUNTA(D209:F209, H209:N209)&gt;0, C209=""""),                  
  AND(COUNTA(C209, H209:N209)&gt;0, D209=""""), LEN("&amp;"H209)&gt;50, AND(I209&lt;&gt;"""", NOT(ISNUMBER(I209))), AND(ISNUMBER(I209), OR(I209&lt;0, I209&gt;99998)), AND(L209&lt;&gt;"""", NOT(REGEXMATCH(L209&amp;"""", ""^\d{8,14}$"")))), ""Erro"", """")"),"")</f>
      </c>
    </row>
    <row r="210" ht="22.5" customHeight="true">
      <c r="A210" s="33" t="s">
        <v>648</v>
      </c>
      <c r="B210" s="34" t="str">
        <f t="shared" si="1"/>
      </c>
      <c r="C210" s="35" t="s">
        <v>649</v>
      </c>
      <c r="D210" s="36">
        <v>39780</v>
      </c>
      <c r="E210" s="37" t="s">
        <v>41</v>
      </c>
      <c r="F210" s="38"/>
      <c r="G210" s="39" t="str">
        <f t="shared" si="2"/>
      </c>
      <c r="H210" s="40" t="s">
        <v>650</v>
      </c>
      <c r="I210" s="41"/>
      <c r="J210" s="41"/>
      <c r="K210" s="41" t="s">
        <v>65</v>
      </c>
      <c r="L210" s="42" t="s">
        <v>44</v>
      </c>
      <c r="M210" s="43" t="s">
        <v>45</v>
      </c>
      <c r="N210" s="44" t="s">
        <v>47</v>
      </c>
      <c r="O210" s="45" t="s">
        <v>46</v>
      </c>
      <c r="P210" s="46" t="str">
        <f>IFERROR(__xludf.DUMMYFUNCTION("IF(OR(AND(C210&lt;&gt;"""", LEN(C210)&lt;3), LEN(C210)&gt;60, AND(D210&lt;&gt;"""", NOT(ISNUMBER(D210))), AND(ISNUMBER(D210), OR(D210&lt;0.01, D210&gt;999999999)), AND(COUNTA(D210:F210, H210:N210)&gt;0, C210=""""),                  
  AND(COUNTA(C210, H210:N210)&gt;0, D210=""""), LEN("&amp;"H210)&gt;50, AND(I210&lt;&gt;"""", NOT(ISNUMBER(I210))), AND(ISNUMBER(I210), OR(I210&lt;0, I210&gt;99998)), AND(L210&lt;&gt;"""", NOT(REGEXMATCH(L210&amp;"""", ""^\d{8,14}$"")))), ""Erro"", """")"),"")</f>
      </c>
    </row>
    <row r="211" ht="22.5" customHeight="true">
      <c r="A211" s="33" t="s">
        <v>651</v>
      </c>
      <c r="B211" s="34" t="str">
        <f t="shared" si="1"/>
      </c>
      <c r="C211" s="35" t="s">
        <v>652</v>
      </c>
      <c r="D211" s="36">
        <v>35700</v>
      </c>
      <c r="E211" s="37" t="s">
        <v>41</v>
      </c>
      <c r="F211" s="38"/>
      <c r="G211" s="39" t="str">
        <f t="shared" si="2"/>
      </c>
      <c r="H211" s="40" t="s">
        <v>44</v>
      </c>
      <c r="I211" s="41"/>
      <c r="J211" s="41"/>
      <c r="K211" s="41" t="s">
        <v>65</v>
      </c>
      <c r="L211" s="42" t="s">
        <v>44</v>
      </c>
      <c r="M211" s="43" t="s">
        <v>45</v>
      </c>
      <c r="N211" s="44" t="s">
        <v>47</v>
      </c>
      <c r="O211" s="45" t="s">
        <v>46</v>
      </c>
      <c r="P211" s="46" t="str">
        <f>IFERROR(__xludf.DUMMYFUNCTION("IF(OR(AND(C211&lt;&gt;"""", LEN(C211)&lt;3), LEN(C211)&gt;60, AND(D211&lt;&gt;"""", NOT(ISNUMBER(D211))), AND(ISNUMBER(D211), OR(D211&lt;0.01, D211&gt;999999999)), AND(COUNTA(D211:F211, H211:N211)&gt;0, C211=""""),                  
  AND(COUNTA(C211, H211:N211)&gt;0, D211=""""), LEN("&amp;"H211)&gt;50, AND(I211&lt;&gt;"""", NOT(ISNUMBER(I211))), AND(ISNUMBER(I211), OR(I211&lt;0, I211&gt;99998)), AND(L211&lt;&gt;"""", NOT(REGEXMATCH(L211&amp;"""", ""^\d{8,14}$"")))), ""Erro"", """")"),"")</f>
      </c>
    </row>
    <row r="212" ht="22.5" customHeight="true">
      <c r="A212" s="33" t="s">
        <v>653</v>
      </c>
      <c r="B212" s="34" t="str">
        <f t="shared" si="1"/>
      </c>
      <c r="C212" s="35" t="s">
        <v>654</v>
      </c>
      <c r="D212" s="36">
        <v>1016</v>
      </c>
      <c r="E212" s="37" t="s">
        <v>41</v>
      </c>
      <c r="F212" s="38"/>
      <c r="G212" s="39" t="str">
        <f t="shared" si="2"/>
      </c>
      <c r="H212" s="40" t="s">
        <v>44</v>
      </c>
      <c r="I212" s="41"/>
      <c r="J212" s="41"/>
      <c r="K212" s="41" t="s">
        <v>486</v>
      </c>
      <c r="L212" s="42" t="s">
        <v>44</v>
      </c>
      <c r="M212" s="43" t="s">
        <v>47</v>
      </c>
      <c r="N212" s="44" t="s">
        <v>47</v>
      </c>
      <c r="O212" s="45" t="s">
        <v>66</v>
      </c>
      <c r="P212" s="46" t="str">
        <f>IFERROR(__xludf.DUMMYFUNCTION("IF(OR(AND(C212&lt;&gt;"""", LEN(C212)&lt;3), LEN(C212)&gt;60, AND(D212&lt;&gt;"""", NOT(ISNUMBER(D212))), AND(ISNUMBER(D212), OR(D212&lt;0.01, D212&gt;999999999)), AND(COUNTA(D212:F212, H212:N212)&gt;0, C212=""""),                  
  AND(COUNTA(C212, H212:N212)&gt;0, D212=""""), LEN("&amp;"H212)&gt;50, AND(I212&lt;&gt;"""", NOT(ISNUMBER(I212))), AND(ISNUMBER(I212), OR(I212&lt;0, I212&gt;99998)), AND(L212&lt;&gt;"""", NOT(REGEXMATCH(L212&amp;"""", ""^\d{8,14}$"")))), ""Erro"", """")"),"")</f>
      </c>
    </row>
    <row r="213" ht="22.5" customHeight="true">
      <c r="A213" s="33" t="s">
        <v>655</v>
      </c>
      <c r="B213" s="34" t="str">
        <f t="shared" si="1"/>
      </c>
      <c r="C213" s="35" t="s">
        <v>656</v>
      </c>
      <c r="D213" s="36">
        <v>600</v>
      </c>
      <c r="E213" s="37" t="s">
        <v>41</v>
      </c>
      <c r="F213" s="38">
        <v>600</v>
      </c>
      <c r="G213" s="39" t="str">
        <f t="shared" si="2"/>
      </c>
      <c r="H213" s="40" t="s">
        <v>44</v>
      </c>
      <c r="I213" s="41"/>
      <c r="J213" s="41"/>
      <c r="K213" s="41" t="s">
        <v>486</v>
      </c>
      <c r="L213" s="42" t="s">
        <v>44</v>
      </c>
      <c r="M213" s="43" t="s">
        <v>45</v>
      </c>
      <c r="N213" s="44" t="s">
        <v>47</v>
      </c>
      <c r="O213" s="45" t="s">
        <v>46</v>
      </c>
      <c r="P213" s="46" t="str">
        <f>IFERROR(__xludf.DUMMYFUNCTION("IF(OR(AND(C213&lt;&gt;"""", LEN(C213)&lt;3), LEN(C213)&gt;60, AND(D213&lt;&gt;"""", NOT(ISNUMBER(D213))), AND(ISNUMBER(D213), OR(D213&lt;0.01, D213&gt;999999999)), AND(COUNTA(D213:F213, H213:N213)&gt;0, C213=""""),                  
  AND(COUNTA(C213, H213:N213)&gt;0, D213=""""), LEN("&amp;"H213)&gt;50, AND(I213&lt;&gt;"""", NOT(ISNUMBER(I213))), AND(ISNUMBER(I213), OR(I213&lt;0, I213&gt;99998)), AND(L213&lt;&gt;"""", NOT(REGEXMATCH(L213&amp;"""", ""^\d{8,14}$"")))), ""Erro"", """")"),"")</f>
      </c>
    </row>
    <row r="214" ht="22.5" customHeight="true">
      <c r="A214" s="33" t="s">
        <v>657</v>
      </c>
      <c r="B214" s="34" t="str">
        <f t="shared" si="1"/>
      </c>
      <c r="C214" s="35" t="s">
        <v>658</v>
      </c>
      <c r="D214" s="36">
        <v>200</v>
      </c>
      <c r="E214" s="37" t="s">
        <v>41</v>
      </c>
      <c r="F214" s="38">
        <v>100</v>
      </c>
      <c r="G214" s="39" t="str">
        <f t="shared" si="2"/>
      </c>
      <c r="H214" s="40" t="s">
        <v>44</v>
      </c>
      <c r="I214" s="41"/>
      <c r="J214" s="41"/>
      <c r="K214" s="41" t="s">
        <v>486</v>
      </c>
      <c r="L214" s="42" t="s">
        <v>44</v>
      </c>
      <c r="M214" s="43" t="s">
        <v>45</v>
      </c>
      <c r="N214" s="44" t="s">
        <v>47</v>
      </c>
      <c r="O214" s="45" t="s">
        <v>46</v>
      </c>
      <c r="P214" s="46" t="str">
        <f>IFERROR(__xludf.DUMMYFUNCTION("IF(OR(AND(C214&lt;&gt;"""", LEN(C214)&lt;3), LEN(C214)&gt;60, AND(D214&lt;&gt;"""", NOT(ISNUMBER(D214))), AND(ISNUMBER(D214), OR(D214&lt;0.01, D214&gt;999999999)), AND(COUNTA(D214:F214, H214:N214)&gt;0, C214=""""),                  
  AND(COUNTA(C214, H214:N214)&gt;0, D214=""""), LEN("&amp;"H214)&gt;50, AND(I214&lt;&gt;"""", NOT(ISNUMBER(I214))), AND(ISNUMBER(I214), OR(I214&lt;0, I214&gt;99998)), AND(L214&lt;&gt;"""", NOT(REGEXMATCH(L214&amp;"""", ""^\d{8,14}$"")))), ""Erro"", """")"),"")</f>
      </c>
    </row>
    <row r="215" ht="22.5" customHeight="true">
      <c r="A215" s="33" t="s">
        <v>659</v>
      </c>
      <c r="B215" s="34" t="str">
        <f t="shared" si="1"/>
      </c>
      <c r="C215" s="35" t="s">
        <v>660</v>
      </c>
      <c r="D215" s="36">
        <v>2000</v>
      </c>
      <c r="E215" s="37" t="s">
        <v>41</v>
      </c>
      <c r="F215" s="38"/>
      <c r="G215" s="39" t="str">
        <f t="shared" si="2"/>
      </c>
      <c r="H215" s="40" t="s">
        <v>661</v>
      </c>
      <c r="I215" s="41"/>
      <c r="J215" s="41"/>
      <c r="K215" s="41" t="s">
        <v>43</v>
      </c>
      <c r="L215" s="42" t="s">
        <v>44</v>
      </c>
      <c r="M215" s="43" t="s">
        <v>45</v>
      </c>
      <c r="N215" s="44" t="s">
        <v>47</v>
      </c>
      <c r="O215" s="45" t="s">
        <v>46</v>
      </c>
      <c r="P215" s="46" t="str">
        <f>IFERROR(__xludf.DUMMYFUNCTION("IF(OR(AND(C215&lt;&gt;"""", LEN(C215)&lt;3), LEN(C215)&gt;60, AND(D215&lt;&gt;"""", NOT(ISNUMBER(D215))), AND(ISNUMBER(D215), OR(D215&lt;0.01, D215&gt;999999999)), AND(COUNTA(D215:F215, H215:N215)&gt;0, C215=""""),                  
  AND(COUNTA(C215, H215:N215)&gt;0, D215=""""), LEN("&amp;"H215)&gt;50, AND(I215&lt;&gt;"""", NOT(ISNUMBER(I215))), AND(ISNUMBER(I215), OR(I215&lt;0, I215&gt;99998)), AND(L215&lt;&gt;"""", NOT(REGEXMATCH(L215&amp;"""", ""^\d{8,14}$"")))), ""Erro"", """")"),"")</f>
      </c>
    </row>
    <row r="216" ht="22.5" customHeight="true">
      <c r="A216" s="33" t="s">
        <v>662</v>
      </c>
      <c r="B216" s="34" t="str">
        <f t="shared" si="1"/>
      </c>
      <c r="C216" s="35" t="s">
        <v>663</v>
      </c>
      <c r="D216" s="36">
        <v>3250</v>
      </c>
      <c r="E216" s="37" t="s">
        <v>41</v>
      </c>
      <c r="F216" s="38"/>
      <c r="G216" s="39" t="str">
        <f t="shared" si="2"/>
      </c>
      <c r="H216" s="40" t="s">
        <v>664</v>
      </c>
      <c r="I216" s="41"/>
      <c r="J216" s="41"/>
      <c r="K216" s="41" t="s">
        <v>582</v>
      </c>
      <c r="L216" s="42" t="s">
        <v>44</v>
      </c>
      <c r="M216" s="43" t="s">
        <v>45</v>
      </c>
      <c r="N216" s="44" t="s">
        <v>47</v>
      </c>
      <c r="O216" s="45" t="s">
        <v>46</v>
      </c>
      <c r="P216" s="46" t="str">
        <f>IFERROR(__xludf.DUMMYFUNCTION("IF(OR(AND(C216&lt;&gt;"""", LEN(C216)&lt;3), LEN(C216)&gt;60, AND(D216&lt;&gt;"""", NOT(ISNUMBER(D216))), AND(ISNUMBER(D216), OR(D216&lt;0.01, D216&gt;999999999)), AND(COUNTA(D216:F216, H216:N216)&gt;0, C216=""""),                  
  AND(COUNTA(C216, H216:N216)&gt;0, D216=""""), LEN("&amp;"H216)&gt;50, AND(I216&lt;&gt;"""", NOT(ISNUMBER(I216))), AND(ISNUMBER(I216), OR(I216&lt;0, I216&gt;99998)), AND(L216&lt;&gt;"""", NOT(REGEXMATCH(L216&amp;"""", ""^\d{8,14}$"")))), ""Erro"", """")"),"")</f>
      </c>
    </row>
    <row r="217" ht="22.5" customHeight="true">
      <c r="A217" s="33" t="s">
        <v>665</v>
      </c>
      <c r="B217" s="34" t="str">
        <f t="shared" si="1"/>
      </c>
      <c r="C217" s="35" t="s">
        <v>666</v>
      </c>
      <c r="D217" s="36">
        <v>11570</v>
      </c>
      <c r="E217" s="37" t="s">
        <v>41</v>
      </c>
      <c r="F217" s="38">
        <v>11570</v>
      </c>
      <c r="G217" s="39" t="str">
        <f t="shared" si="2"/>
      </c>
      <c r="H217" s="40" t="s">
        <v>44</v>
      </c>
      <c r="I217" s="41"/>
      <c r="J217" s="41"/>
      <c r="K217" s="41" t="s">
        <v>486</v>
      </c>
      <c r="L217" s="42" t="s">
        <v>44</v>
      </c>
      <c r="M217" s="43" t="s">
        <v>45</v>
      </c>
      <c r="N217" s="44" t="s">
        <v>47</v>
      </c>
      <c r="O217" s="45" t="s">
        <v>66</v>
      </c>
      <c r="P217" s="46" t="str">
        <f>IFERROR(__xludf.DUMMYFUNCTION("IF(OR(AND(C217&lt;&gt;"""", LEN(C217)&lt;3), LEN(C217)&gt;60, AND(D217&lt;&gt;"""", NOT(ISNUMBER(D217))), AND(ISNUMBER(D217), OR(D217&lt;0.01, D217&gt;999999999)), AND(COUNTA(D217:F217, H217:N217)&gt;0, C217=""""),                  
  AND(COUNTA(C217, H217:N217)&gt;0, D217=""""), LEN("&amp;"H217)&gt;50, AND(I217&lt;&gt;"""", NOT(ISNUMBER(I217))), AND(ISNUMBER(I217), OR(I217&lt;0, I217&gt;99998)), AND(L217&lt;&gt;"""", NOT(REGEXMATCH(L217&amp;"""", ""^\d{8,14}$"")))), ""Erro"", """")"),"")</f>
      </c>
    </row>
    <row r="218" ht="22.5" customHeight="true">
      <c r="A218" s="33" t="s">
        <v>667</v>
      </c>
      <c r="B218" s="34" t="str">
        <f t="shared" si="1"/>
      </c>
      <c r="C218" s="35" t="s">
        <v>668</v>
      </c>
      <c r="D218" s="36">
        <v>1850</v>
      </c>
      <c r="E218" s="37" t="s">
        <v>41</v>
      </c>
      <c r="F218" s="38">
        <v>1500</v>
      </c>
      <c r="G218" s="39" t="str">
        <f t="shared" si="2"/>
      </c>
      <c r="H218" s="40" t="s">
        <v>44</v>
      </c>
      <c r="I218" s="41"/>
      <c r="J218" s="41"/>
      <c r="K218" s="41" t="s">
        <v>43</v>
      </c>
      <c r="L218" s="42" t="s">
        <v>44</v>
      </c>
      <c r="M218" s="43" t="s">
        <v>45</v>
      </c>
      <c r="N218" s="44" t="s">
        <v>47</v>
      </c>
      <c r="O218" s="45" t="s">
        <v>46</v>
      </c>
      <c r="P218" s="46" t="str">
        <f>IFERROR(__xludf.DUMMYFUNCTION("IF(OR(AND(C218&lt;&gt;"""", LEN(C218)&lt;3), LEN(C218)&gt;60, AND(D218&lt;&gt;"""", NOT(ISNUMBER(D218))), AND(ISNUMBER(D218), OR(D218&lt;0.01, D218&gt;999999999)), AND(COUNTA(D218:F218, H218:N218)&gt;0, C218=""""),                  
  AND(COUNTA(C218, H218:N218)&gt;0, D218=""""), LEN("&amp;"H218)&gt;50, AND(I218&lt;&gt;"""", NOT(ISNUMBER(I218))), AND(ISNUMBER(I218), OR(I218&lt;0, I218&gt;99998)), AND(L218&lt;&gt;"""", NOT(REGEXMATCH(L218&amp;"""", ""^\d{8,14}$"")))), ""Erro"", """")"),"")</f>
      </c>
    </row>
    <row r="219" ht="22.5" customHeight="true">
      <c r="A219" s="33" t="s">
        <v>669</v>
      </c>
      <c r="B219" s="34" t="str">
        <f t="shared" si="1"/>
      </c>
      <c r="C219" s="35" t="s">
        <v>670</v>
      </c>
      <c r="D219" s="36">
        <v>2500</v>
      </c>
      <c r="E219" s="37" t="s">
        <v>41</v>
      </c>
      <c r="F219" s="38"/>
      <c r="G219" s="39" t="str">
        <f t="shared" si="2"/>
      </c>
      <c r="H219" s="40" t="s">
        <v>671</v>
      </c>
      <c r="I219" s="41"/>
      <c r="J219" s="41"/>
      <c r="K219" s="41" t="s">
        <v>65</v>
      </c>
      <c r="L219" s="42" t="s">
        <v>44</v>
      </c>
      <c r="M219" s="43" t="s">
        <v>45</v>
      </c>
      <c r="N219" s="44" t="s">
        <v>47</v>
      </c>
      <c r="O219" s="45" t="s">
        <v>66</v>
      </c>
      <c r="P219" s="46" t="str">
        <f>IFERROR(__xludf.DUMMYFUNCTION("IF(OR(AND(C219&lt;&gt;"""", LEN(C219)&lt;3), LEN(C219)&gt;60, AND(D219&lt;&gt;"""", NOT(ISNUMBER(D219))), AND(ISNUMBER(D219), OR(D219&lt;0.01, D219&gt;999999999)), AND(COUNTA(D219:F219, H219:N219)&gt;0, C219=""""),                  
  AND(COUNTA(C219, H219:N219)&gt;0, D219=""""), LEN("&amp;"H219)&gt;50, AND(I219&lt;&gt;"""", NOT(ISNUMBER(I219))), AND(ISNUMBER(I219), OR(I219&lt;0, I219&gt;99998)), AND(L219&lt;&gt;"""", NOT(REGEXMATCH(L219&amp;"""", ""^\d{8,14}$"")))), ""Erro"", """")"),"")</f>
      </c>
    </row>
    <row r="220" ht="22.5" customHeight="true">
      <c r="A220" s="33" t="s">
        <v>672</v>
      </c>
      <c r="B220" s="34" t="str">
        <f t="shared" si="1"/>
      </c>
      <c r="C220" s="35" t="s">
        <v>673</v>
      </c>
      <c r="D220" s="36">
        <v>900</v>
      </c>
      <c r="E220" s="37" t="s">
        <v>41</v>
      </c>
      <c r="F220" s="38"/>
      <c r="G220" s="39" t="str">
        <f t="shared" si="2"/>
      </c>
      <c r="H220" s="40" t="s">
        <v>674</v>
      </c>
      <c r="I220" s="41"/>
      <c r="J220" s="41"/>
      <c r="K220" s="41" t="s">
        <v>582</v>
      </c>
      <c r="L220" s="42" t="s">
        <v>44</v>
      </c>
      <c r="M220" s="43" t="s">
        <v>45</v>
      </c>
      <c r="N220" s="44" t="s">
        <v>47</v>
      </c>
      <c r="O220" s="45" t="s">
        <v>66</v>
      </c>
      <c r="P220" s="46" t="str">
        <f>IFERROR(__xludf.DUMMYFUNCTION("IF(OR(AND(C220&lt;&gt;"""", LEN(C220)&lt;3), LEN(C220)&gt;60, AND(D220&lt;&gt;"""", NOT(ISNUMBER(D220))), AND(ISNUMBER(D220), OR(D220&lt;0.01, D220&gt;999999999)), AND(COUNTA(D220:F220, H220:N220)&gt;0, C220=""""),                  
  AND(COUNTA(C220, H220:N220)&gt;0, D220=""""), LEN("&amp;"H220)&gt;50, AND(I220&lt;&gt;"""", NOT(ISNUMBER(I220))), AND(ISNUMBER(I220), OR(I220&lt;0, I220&gt;99998)), AND(L220&lt;&gt;"""", NOT(REGEXMATCH(L220&amp;"""", ""^\d{8,14}$"")))), ""Erro"", """")"),"")</f>
      </c>
    </row>
    <row r="221" ht="22.5" customHeight="true">
      <c r="A221" s="33" t="s">
        <v>675</v>
      </c>
      <c r="B221" s="34" t="str">
        <f t="shared" si="1"/>
      </c>
      <c r="C221" s="35" t="s">
        <v>676</v>
      </c>
      <c r="D221" s="36">
        <v>6000</v>
      </c>
      <c r="E221" s="37" t="s">
        <v>41</v>
      </c>
      <c r="F221" s="38"/>
      <c r="G221" s="39" t="str">
        <f t="shared" si="2"/>
      </c>
      <c r="H221" s="40" t="s">
        <v>677</v>
      </c>
      <c r="I221" s="41"/>
      <c r="J221" s="41"/>
      <c r="K221" s="41" t="s">
        <v>65</v>
      </c>
      <c r="L221" s="42" t="s">
        <v>44</v>
      </c>
      <c r="M221" s="43" t="s">
        <v>45</v>
      </c>
      <c r="N221" s="44" t="s">
        <v>47</v>
      </c>
      <c r="O221" s="45" t="s">
        <v>46</v>
      </c>
      <c r="P221" s="46" t="str">
        <f>IFERROR(__xludf.DUMMYFUNCTION("IF(OR(AND(C221&lt;&gt;"""", LEN(C221)&lt;3), LEN(C221)&gt;60, AND(D221&lt;&gt;"""", NOT(ISNUMBER(D221))), AND(ISNUMBER(D221), OR(D221&lt;0.01, D221&gt;999999999)), AND(COUNTA(D221:F221, H221:N221)&gt;0, C221=""""),                  
  AND(COUNTA(C221, H221:N221)&gt;0, D221=""""), LEN("&amp;"H221)&gt;50, AND(I221&lt;&gt;"""", NOT(ISNUMBER(I221))), AND(ISNUMBER(I221), OR(I221&lt;0, I221&gt;99998)), AND(L221&lt;&gt;"""", NOT(REGEXMATCH(L221&amp;"""", ""^\d{8,14}$"")))), ""Erro"", """")"),"")</f>
      </c>
    </row>
    <row r="222" ht="22.5" customHeight="true">
      <c r="A222" s="33" t="s">
        <v>678</v>
      </c>
      <c r="B222" s="34" t="str">
        <f t="shared" si="1"/>
      </c>
      <c r="C222" s="35" t="s">
        <v>679</v>
      </c>
      <c r="D222" s="36">
        <v>1800</v>
      </c>
      <c r="E222" s="37" t="s">
        <v>41</v>
      </c>
      <c r="F222" s="38"/>
      <c r="G222" s="39" t="str">
        <f t="shared" si="2"/>
      </c>
      <c r="H222" s="40" t="s">
        <v>44</v>
      </c>
      <c r="I222" s="41"/>
      <c r="J222" s="41"/>
      <c r="K222" s="41" t="s">
        <v>54</v>
      </c>
      <c r="L222" s="42" t="s">
        <v>44</v>
      </c>
      <c r="M222" s="43" t="s">
        <v>45</v>
      </c>
      <c r="N222" s="44" t="s">
        <v>47</v>
      </c>
      <c r="O222" s="45" t="s">
        <v>46</v>
      </c>
      <c r="P222" s="46" t="str">
        <f>IFERROR(__xludf.DUMMYFUNCTION("IF(OR(AND(C222&lt;&gt;"""", LEN(C222)&lt;3), LEN(C222)&gt;60, AND(D222&lt;&gt;"""", NOT(ISNUMBER(D222))), AND(ISNUMBER(D222), OR(D222&lt;0.01, D222&gt;999999999)), AND(COUNTA(D222:F222, H222:N222)&gt;0, C222=""""),                  
  AND(COUNTA(C222, H222:N222)&gt;0, D222=""""), LEN("&amp;"H222)&gt;50, AND(I222&lt;&gt;"""", NOT(ISNUMBER(I222))), AND(ISNUMBER(I222), OR(I222&lt;0, I222&gt;99998)), AND(L222&lt;&gt;"""", NOT(REGEXMATCH(L222&amp;"""", ""^\d{8,14}$"")))), ""Erro"", """")"),"")</f>
      </c>
    </row>
    <row r="223" ht="22.5" customHeight="true">
      <c r="A223" s="33" t="s">
        <v>680</v>
      </c>
      <c r="B223" s="34" t="str">
        <f t="shared" si="1"/>
      </c>
      <c r="C223" s="35" t="s">
        <v>681</v>
      </c>
      <c r="D223" s="36">
        <v>41760</v>
      </c>
      <c r="E223" s="37" t="s">
        <v>41</v>
      </c>
      <c r="F223" s="38"/>
      <c r="G223" s="39" t="str">
        <f t="shared" si="2"/>
      </c>
      <c r="H223" s="40" t="s">
        <v>682</v>
      </c>
      <c r="I223" s="41"/>
      <c r="J223" s="41"/>
      <c r="K223" s="41" t="s">
        <v>43</v>
      </c>
      <c r="L223" s="42" t="s">
        <v>44</v>
      </c>
      <c r="M223" s="43" t="s">
        <v>45</v>
      </c>
      <c r="N223" s="44" t="s">
        <v>47</v>
      </c>
      <c r="O223" s="45" t="s">
        <v>66</v>
      </c>
      <c r="P223" s="46" t="str">
        <f>IFERROR(__xludf.DUMMYFUNCTION("IF(OR(AND(C223&lt;&gt;"""", LEN(C223)&lt;3), LEN(C223)&gt;60, AND(D223&lt;&gt;"""", NOT(ISNUMBER(D223))), AND(ISNUMBER(D223), OR(D223&lt;0.01, D223&gt;999999999)), AND(COUNTA(D223:F223, H223:N223)&gt;0, C223=""""),                  
  AND(COUNTA(C223, H223:N223)&gt;0, D223=""""), LEN("&amp;"H223)&gt;50, AND(I223&lt;&gt;"""", NOT(ISNUMBER(I223))), AND(ISNUMBER(I223), OR(I223&lt;0, I223&gt;99998)), AND(L223&lt;&gt;"""", NOT(REGEXMATCH(L223&amp;"""", ""^\d{8,14}$"")))), ""Erro"", """")"),"")</f>
      </c>
    </row>
    <row r="224" ht="22.5" customHeight="true">
      <c r="A224" s="33" t="s">
        <v>683</v>
      </c>
      <c r="B224" s="34" t="str">
        <f t="shared" si="1"/>
      </c>
      <c r="C224" s="35" t="s">
        <v>684</v>
      </c>
      <c r="D224" s="36">
        <v>4199</v>
      </c>
      <c r="E224" s="37" t="s">
        <v>41</v>
      </c>
      <c r="F224" s="38">
        <v>3498</v>
      </c>
      <c r="G224" s="39" t="str">
        <f t="shared" si="2"/>
      </c>
      <c r="H224" s="40" t="s">
        <v>685</v>
      </c>
      <c r="I224" s="41"/>
      <c r="J224" s="41"/>
      <c r="K224" s="41" t="s">
        <v>43</v>
      </c>
      <c r="L224" s="42" t="s">
        <v>44</v>
      </c>
      <c r="M224" s="43" t="s">
        <v>45</v>
      </c>
      <c r="N224" s="44" t="s">
        <v>47</v>
      </c>
      <c r="O224" s="45" t="s">
        <v>46</v>
      </c>
      <c r="P224" s="46" t="str">
        <f>IFERROR(__xludf.DUMMYFUNCTION("IF(OR(AND(C224&lt;&gt;"""", LEN(C224)&lt;3), LEN(C224)&gt;60, AND(D224&lt;&gt;"""", NOT(ISNUMBER(D224))), AND(ISNUMBER(D224), OR(D224&lt;0.01, D224&gt;999999999)), AND(COUNTA(D224:F224, H224:N224)&gt;0, C224=""""),                  
  AND(COUNTA(C224, H224:N224)&gt;0, D224=""""), LEN("&amp;"H224)&gt;50, AND(I224&lt;&gt;"""", NOT(ISNUMBER(I224))), AND(ISNUMBER(I224), OR(I224&lt;0, I224&gt;99998)), AND(L224&lt;&gt;"""", NOT(REGEXMATCH(L224&amp;"""", ""^\d{8,14}$"")))), ""Erro"", """")"),"")</f>
      </c>
    </row>
    <row r="225" ht="22.5" customHeight="true">
      <c r="A225" s="33" t="s">
        <v>686</v>
      </c>
      <c r="B225" s="34" t="str">
        <f t="shared" si="1"/>
      </c>
      <c r="C225" s="35" t="s">
        <v>687</v>
      </c>
      <c r="D225" s="36">
        <v>110</v>
      </c>
      <c r="E225" s="37" t="s">
        <v>41</v>
      </c>
      <c r="F225" s="38"/>
      <c r="G225" s="39" t="str">
        <f t="shared" si="2"/>
      </c>
      <c r="H225" s="40" t="s">
        <v>688</v>
      </c>
      <c r="I225" s="41"/>
      <c r="J225" s="41"/>
      <c r="K225" s="41" t="s">
        <v>44</v>
      </c>
      <c r="L225" s="42" t="s">
        <v>44</v>
      </c>
      <c r="M225" s="43" t="s">
        <v>45</v>
      </c>
      <c r="N225" s="44" t="s">
        <v>47</v>
      </c>
      <c r="O225" s="45" t="s">
        <v>66</v>
      </c>
      <c r="P225" s="46" t="str">
        <f>IFERROR(__xludf.DUMMYFUNCTION("IF(OR(AND(C225&lt;&gt;"""", LEN(C225)&lt;3), LEN(C225)&gt;60, AND(D225&lt;&gt;"""", NOT(ISNUMBER(D225))), AND(ISNUMBER(D225), OR(D225&lt;0.01, D225&gt;999999999)), AND(COUNTA(D225:F225, H225:N225)&gt;0, C225=""""),                  
  AND(COUNTA(C225, H225:N225)&gt;0, D225=""""), LEN("&amp;"H225)&gt;50, AND(I225&lt;&gt;"""", NOT(ISNUMBER(I225))), AND(ISNUMBER(I225), OR(I225&lt;0, I225&gt;99998)), AND(L225&lt;&gt;"""", NOT(REGEXMATCH(L225&amp;"""", ""^\d{8,14}$"")))), ""Erro"", """")"),"")</f>
      </c>
    </row>
    <row r="226" ht="22.5" customHeight="true">
      <c r="A226" s="33" t="s">
        <v>689</v>
      </c>
      <c r="B226" s="34" t="str">
        <f t="shared" si="1"/>
      </c>
      <c r="C226" s="35" t="s">
        <v>690</v>
      </c>
      <c r="D226" s="36">
        <v>1800</v>
      </c>
      <c r="E226" s="37" t="s">
        <v>41</v>
      </c>
      <c r="F226" s="38"/>
      <c r="G226" s="39" t="str">
        <f t="shared" si="2"/>
      </c>
      <c r="H226" s="40" t="s">
        <v>44</v>
      </c>
      <c r="I226" s="41"/>
      <c r="J226" s="41"/>
      <c r="K226" s="41" t="s">
        <v>54</v>
      </c>
      <c r="L226" s="42" t="s">
        <v>44</v>
      </c>
      <c r="M226" s="43" t="s">
        <v>45</v>
      </c>
      <c r="N226" s="44" t="s">
        <v>47</v>
      </c>
      <c r="O226" s="45" t="s">
        <v>46</v>
      </c>
      <c r="P226" s="46" t="str">
        <f>IFERROR(__xludf.DUMMYFUNCTION("IF(OR(AND(C226&lt;&gt;"""", LEN(C226)&lt;3), LEN(C226)&gt;60, AND(D226&lt;&gt;"""", NOT(ISNUMBER(D226))), AND(ISNUMBER(D226), OR(D226&lt;0.01, D226&gt;999999999)), AND(COUNTA(D226:F226, H226:N226)&gt;0, C226=""""),                  
  AND(COUNTA(C226, H226:N226)&gt;0, D226=""""), LEN("&amp;"H226)&gt;50, AND(I226&lt;&gt;"""", NOT(ISNUMBER(I226))), AND(ISNUMBER(I226), OR(I226&lt;0, I226&gt;99998)), AND(L226&lt;&gt;"""", NOT(REGEXMATCH(L226&amp;"""", ""^\d{8,14}$"")))), ""Erro"", """")"),"")</f>
      </c>
    </row>
    <row r="227" ht="22.5" customHeight="true">
      <c r="A227" s="33" t="s">
        <v>691</v>
      </c>
      <c r="B227" s="34" t="str">
        <f t="shared" si="1"/>
      </c>
      <c r="C227" s="35" t="s">
        <v>692</v>
      </c>
      <c r="D227" s="36">
        <v>3113.5</v>
      </c>
      <c r="E227" s="37" t="s">
        <v>41</v>
      </c>
      <c r="F227" s="38">
        <v>3113.5</v>
      </c>
      <c r="G227" s="39" t="str">
        <f t="shared" si="2"/>
      </c>
      <c r="H227" s="40" t="s">
        <v>44</v>
      </c>
      <c r="I227" s="41">
        <v>0</v>
      </c>
      <c r="J227" s="41"/>
      <c r="K227" s="41" t="s">
        <v>582</v>
      </c>
      <c r="L227" s="42" t="s">
        <v>44</v>
      </c>
      <c r="M227" s="43" t="s">
        <v>45</v>
      </c>
      <c r="N227" s="44"/>
      <c r="O227" s="45" t="s">
        <v>44</v>
      </c>
      <c r="P227" s="46" t="str">
        <f>IFERROR(__xludf.DUMMYFUNCTION("IF(OR(AND(C227&lt;&gt;"""", LEN(C227)&lt;3), LEN(C227)&gt;60, AND(D227&lt;&gt;"""", NOT(ISNUMBER(D227))), AND(ISNUMBER(D227), OR(D227&lt;0.01, D227&gt;999999999)), AND(COUNTA(D227:F227, H227:N227)&gt;0, C227=""""),                  
  AND(COUNTA(C227, H227:N227)&gt;0, D227=""""), LEN("&amp;"H227)&gt;50, AND(I227&lt;&gt;"""", NOT(ISNUMBER(I227))), AND(ISNUMBER(I227), OR(I227&lt;0, I227&gt;99998)), AND(L227&lt;&gt;"""", NOT(REGEXMATCH(L227&amp;"""", ""^\d{8,14}$"")))), ""Erro"", """")"),"")</f>
      </c>
    </row>
    <row r="228" ht="22.5" customHeight="true">
      <c r="A228" s="33" t="s">
        <v>693</v>
      </c>
      <c r="B228" s="34" t="str">
        <f t="shared" si="1"/>
      </c>
      <c r="C228" s="35" t="s">
        <v>694</v>
      </c>
      <c r="D228" s="36">
        <v>2650</v>
      </c>
      <c r="E228" s="37" t="s">
        <v>41</v>
      </c>
      <c r="F228" s="38">
        <v>2250</v>
      </c>
      <c r="G228" s="39" t="str">
        <f t="shared" si="2"/>
      </c>
      <c r="H228" s="40" t="s">
        <v>695</v>
      </c>
      <c r="I228" s="41"/>
      <c r="J228" s="41"/>
      <c r="K228" s="41" t="s">
        <v>582</v>
      </c>
      <c r="L228" s="42" t="s">
        <v>44</v>
      </c>
      <c r="M228" s="43" t="s">
        <v>45</v>
      </c>
      <c r="N228" s="44" t="s">
        <v>47</v>
      </c>
      <c r="O228" s="45" t="s">
        <v>66</v>
      </c>
      <c r="P228" s="46" t="str">
        <f>IFERROR(__xludf.DUMMYFUNCTION("IF(OR(AND(C228&lt;&gt;"""", LEN(C228)&lt;3), LEN(C228)&gt;60, AND(D228&lt;&gt;"""", NOT(ISNUMBER(D228))), AND(ISNUMBER(D228), OR(D228&lt;0.01, D228&gt;999999999)), AND(COUNTA(D228:F228, H228:N228)&gt;0, C228=""""),                  
  AND(COUNTA(C228, H228:N228)&gt;0, D228=""""), LEN("&amp;"H228)&gt;50, AND(I228&lt;&gt;"""", NOT(ISNUMBER(I228))), AND(ISNUMBER(I228), OR(I228&lt;0, I228&gt;99998)), AND(L228&lt;&gt;"""", NOT(REGEXMATCH(L228&amp;"""", ""^\d{8,14}$"")))), ""Erro"", """")"),"")</f>
      </c>
    </row>
    <row r="229" ht="22.5" customHeight="true">
      <c r="A229" s="33" t="s">
        <v>696</v>
      </c>
      <c r="B229" s="34" t="str">
        <f t="shared" si="1"/>
      </c>
      <c r="C229" s="35" t="s">
        <v>697</v>
      </c>
      <c r="D229" s="36">
        <v>213</v>
      </c>
      <c r="E229" s="37" t="s">
        <v>41</v>
      </c>
      <c r="F229" s="38">
        <v>170</v>
      </c>
      <c r="G229" s="39" t="str">
        <f t="shared" si="2"/>
      </c>
      <c r="H229" s="40" t="s">
        <v>44</v>
      </c>
      <c r="I229" s="41"/>
      <c r="J229" s="41"/>
      <c r="K229" s="41" t="s">
        <v>486</v>
      </c>
      <c r="L229" s="42" t="s">
        <v>44</v>
      </c>
      <c r="M229" s="43" t="s">
        <v>45</v>
      </c>
      <c r="N229" s="44" t="s">
        <v>47</v>
      </c>
      <c r="O229" s="45" t="s">
        <v>46</v>
      </c>
      <c r="P229" s="46" t="str">
        <f>IFERROR(__xludf.DUMMYFUNCTION("IF(OR(AND(C229&lt;&gt;"""", LEN(C229)&lt;3), LEN(C229)&gt;60, AND(D229&lt;&gt;"""", NOT(ISNUMBER(D229))), AND(ISNUMBER(D229), OR(D229&lt;0.01, D229&gt;999999999)), AND(COUNTA(D229:F229, H229:N229)&gt;0, C229=""""),                  
  AND(COUNTA(C229, H229:N229)&gt;0, D229=""""), LEN("&amp;"H229)&gt;50, AND(I229&lt;&gt;"""", NOT(ISNUMBER(I229))), AND(ISNUMBER(I229), OR(I229&lt;0, I229&gt;99998)), AND(L229&lt;&gt;"""", NOT(REGEXMATCH(L229&amp;"""", ""^\d{8,14}$"")))), ""Erro"", """")"),"")</f>
      </c>
    </row>
    <row r="230" ht="22.5" customHeight="true">
      <c r="A230" s="33" t="s">
        <v>698</v>
      </c>
      <c r="B230" s="34" t="str">
        <f t="shared" si="1"/>
      </c>
      <c r="C230" s="35" t="s">
        <v>699</v>
      </c>
      <c r="D230" s="36">
        <v>600</v>
      </c>
      <c r="E230" s="37" t="s">
        <v>41</v>
      </c>
      <c r="F230" s="38">
        <v>600</v>
      </c>
      <c r="G230" s="39" t="str">
        <f t="shared" si="2"/>
      </c>
      <c r="H230" s="40" t="s">
        <v>44</v>
      </c>
      <c r="I230" s="41"/>
      <c r="J230" s="41"/>
      <c r="K230" s="41" t="s">
        <v>70</v>
      </c>
      <c r="L230" s="42" t="s">
        <v>44</v>
      </c>
      <c r="M230" s="43" t="s">
        <v>45</v>
      </c>
      <c r="N230" s="44" t="s">
        <v>47</v>
      </c>
      <c r="O230" s="45" t="s">
        <v>46</v>
      </c>
      <c r="P230" s="46" t="str">
        <f>IFERROR(__xludf.DUMMYFUNCTION("IF(OR(AND(C230&lt;&gt;"""", LEN(C230)&lt;3), LEN(C230)&gt;60, AND(D230&lt;&gt;"""", NOT(ISNUMBER(D230))), AND(ISNUMBER(D230), OR(D230&lt;0.01, D230&gt;999999999)), AND(COUNTA(D230:F230, H230:N230)&gt;0, C230=""""),                  
  AND(COUNTA(C230, H230:N230)&gt;0, D230=""""), LEN("&amp;"H230)&gt;50, AND(I230&lt;&gt;"""", NOT(ISNUMBER(I230))), AND(ISNUMBER(I230), OR(I230&lt;0, I230&gt;99998)), AND(L230&lt;&gt;"""", NOT(REGEXMATCH(L230&amp;"""", ""^\d{8,14}$"")))), ""Erro"", """")"),"")</f>
      </c>
    </row>
    <row r="231" ht="22.5" customHeight="true">
      <c r="A231" s="33" t="s">
        <v>700</v>
      </c>
      <c r="B231" s="34" t="str">
        <f t="shared" si="1"/>
      </c>
      <c r="C231" s="35" t="s">
        <v>701</v>
      </c>
      <c r="D231" s="36">
        <v>43687.5</v>
      </c>
      <c r="E231" s="37" t="s">
        <v>41</v>
      </c>
      <c r="F231" s="38">
        <v>43687.5</v>
      </c>
      <c r="G231" s="39" t="str">
        <f t="shared" si="2"/>
      </c>
      <c r="H231" s="40" t="s">
        <v>44</v>
      </c>
      <c r="I231" s="41"/>
      <c r="J231" s="41"/>
      <c r="K231" s="41" t="s">
        <v>44</v>
      </c>
      <c r="L231" s="42" t="s">
        <v>44</v>
      </c>
      <c r="M231" s="43"/>
      <c r="N231" s="44"/>
      <c r="O231" s="45"/>
      <c r="P231" s="46" t="str">
        <f>IFERROR(__xludf.DUMMYFUNCTION("IF(OR(AND(C231&lt;&gt;"""", LEN(C231)&lt;3), LEN(C231)&gt;60, AND(D231&lt;&gt;"""", NOT(ISNUMBER(D231))), AND(ISNUMBER(D231), OR(D231&lt;0.01, D231&gt;999999999)), AND(COUNTA(D231:F231, H231:N231)&gt;0, C231=""""),                  
  AND(COUNTA(C231, H231:N231)&gt;0, D231=""""), LEN("&amp;"H231)&gt;50, AND(I231&lt;&gt;"""", NOT(ISNUMBER(I231))), AND(ISNUMBER(I231), OR(I231&lt;0, I231&gt;99998)), AND(L231&lt;&gt;"""", NOT(REGEXMATCH(L231&amp;"""", ""^\d{8,14}$"")))), ""Erro"", """")"),"")</f>
      </c>
    </row>
    <row r="232" ht="22.5" customHeight="true">
      <c r="A232" s="33"/>
      <c r="B232" s="34" t="str">
        <f t="shared" si="1"/>
      </c>
      <c r="C232" s="35"/>
      <c r="D232" s="36"/>
      <c r="E232" s="37"/>
      <c r="F232" s="38"/>
      <c r="G232" s="39" t="str">
        <f t="shared" si="2"/>
      </c>
      <c r="H232" s="40"/>
      <c r="I232" s="41"/>
      <c r="J232" s="41"/>
      <c r="K232" s="41"/>
      <c r="L232" s="42"/>
      <c r="M232" s="43"/>
      <c r="N232" s="44"/>
      <c r="O232" s="45"/>
      <c r="P232" s="46" t="str">
        <f>IFERROR(__xludf.DUMMYFUNCTION("IF(OR(AND(C232&lt;&gt;"""", LEN(C232)&lt;3), LEN(C232)&gt;60, AND(D232&lt;&gt;"""", NOT(ISNUMBER(D232))), AND(ISNUMBER(D232), OR(D232&lt;0.01, D232&gt;999999999)), AND(COUNTA(D232:F232, H232:N232)&gt;0, C232=""""),                  
  AND(COUNTA(C232, H232:N232)&gt;0, D232=""""), LEN("&amp;"H232)&gt;50, AND(I232&lt;&gt;"""", NOT(ISNUMBER(I232))), AND(ISNUMBER(I232), OR(I232&lt;0, I232&gt;99998)), AND(L232&lt;&gt;"""", NOT(REGEXMATCH(L232&amp;"""", ""^\d{8,14}$"")))), ""Erro"", """")"),"")</f>
      </c>
    </row>
    <row r="233" ht="22.5" customHeight="true">
      <c r="A233" s="33"/>
      <c r="B233" s="34" t="str">
        <f t="shared" si="1"/>
      </c>
      <c r="C233" s="35"/>
      <c r="D233" s="36"/>
      <c r="E233" s="37"/>
      <c r="F233" s="38"/>
      <c r="G233" s="39" t="str">
        <f t="shared" si="2"/>
      </c>
      <c r="H233" s="40"/>
      <c r="I233" s="41"/>
      <c r="J233" s="41"/>
      <c r="K233" s="41"/>
      <c r="L233" s="42"/>
      <c r="M233" s="43"/>
      <c r="N233" s="44"/>
      <c r="O233" s="45"/>
      <c r="P233" s="46" t="str">
        <f>IFERROR(__xludf.DUMMYFUNCTION("IF(OR(AND(C233&lt;&gt;"""", LEN(C233)&lt;3), LEN(C233)&gt;60, AND(D233&lt;&gt;"""", NOT(ISNUMBER(D233))), AND(ISNUMBER(D233), OR(D233&lt;0.01, D233&gt;999999999)), AND(COUNTA(D233:F233, H233:N233)&gt;0, C233=""""),                  
  AND(COUNTA(C233, H233:N233)&gt;0, D233=""""), LEN("&amp;"H233)&gt;50, AND(I233&lt;&gt;"""", NOT(ISNUMBER(I233))), AND(ISNUMBER(I233), OR(I233&lt;0, I233&gt;99998)), AND(L233&lt;&gt;"""", NOT(REGEXMATCH(L233&amp;"""", ""^\d{8,14}$"")))), ""Erro"", """")"),"")</f>
      </c>
    </row>
    <row r="234" ht="22.5" customHeight="true">
      <c r="A234" s="33"/>
      <c r="B234" s="34" t="str">
        <f t="shared" si="1"/>
      </c>
      <c r="C234" s="35"/>
      <c r="D234" s="36"/>
      <c r="E234" s="37"/>
      <c r="F234" s="38"/>
      <c r="G234" s="39" t="str">
        <f t="shared" si="2"/>
      </c>
      <c r="H234" s="40"/>
      <c r="I234" s="41"/>
      <c r="J234" s="41"/>
      <c r="K234" s="41"/>
      <c r="L234" s="42"/>
      <c r="M234" s="43"/>
      <c r="N234" s="44"/>
      <c r="O234" s="45"/>
      <c r="P234" s="46" t="str">
        <f>IFERROR(__xludf.DUMMYFUNCTION("IF(OR(AND(C234&lt;&gt;"""", LEN(C234)&lt;3), LEN(C234)&gt;60, AND(D234&lt;&gt;"""", NOT(ISNUMBER(D234))), AND(ISNUMBER(D234), OR(D234&lt;0.01, D234&gt;999999999)), AND(COUNTA(D234:F234, H234:N234)&gt;0, C234=""""),                  
  AND(COUNTA(C234, H234:N234)&gt;0, D234=""""), LEN("&amp;"H234)&gt;50, AND(I234&lt;&gt;"""", NOT(ISNUMBER(I234))), AND(ISNUMBER(I234), OR(I234&lt;0, I234&gt;99998)), AND(L234&lt;&gt;"""", NOT(REGEXMATCH(L234&amp;"""", ""^\d{8,14}$"")))), ""Erro"", """")"),"")</f>
      </c>
    </row>
    <row r="235" ht="22.5" customHeight="true">
      <c r="A235" s="33"/>
      <c r="B235" s="34" t="str">
        <f t="shared" si="1"/>
      </c>
      <c r="C235" s="35"/>
      <c r="D235" s="36"/>
      <c r="E235" s="37"/>
      <c r="F235" s="38"/>
      <c r="G235" s="39" t="str">
        <f t="shared" si="2"/>
      </c>
      <c r="H235" s="40"/>
      <c r="I235" s="41"/>
      <c r="J235" s="41"/>
      <c r="K235" s="41"/>
      <c r="L235" s="42"/>
      <c r="M235" s="43"/>
      <c r="N235" s="44"/>
      <c r="O235" s="45"/>
      <c r="P235" s="46" t="str">
        <f>IFERROR(__xludf.DUMMYFUNCTION("IF(OR(AND(C235&lt;&gt;"""", LEN(C235)&lt;3), LEN(C235)&gt;60, AND(D235&lt;&gt;"""", NOT(ISNUMBER(D235))), AND(ISNUMBER(D235), OR(D235&lt;0.01, D235&gt;999999999)), AND(COUNTA(D235:F235, H235:N235)&gt;0, C235=""""),                  
  AND(COUNTA(C235, H235:N235)&gt;0, D235=""""), LEN("&amp;"H235)&gt;50, AND(I235&lt;&gt;"""", NOT(ISNUMBER(I235))), AND(ISNUMBER(I235), OR(I235&lt;0, I235&gt;99998)), AND(L235&lt;&gt;"""", NOT(REGEXMATCH(L235&amp;"""", ""^\d{8,14}$"")))), ""Erro"", """")"),"")</f>
      </c>
    </row>
    <row r="236" ht="22.5" customHeight="true">
      <c r="A236" s="33"/>
      <c r="B236" s="34" t="str">
        <f t="shared" si="1"/>
      </c>
      <c r="C236" s="35"/>
      <c r="D236" s="36"/>
      <c r="E236" s="37"/>
      <c r="F236" s="38"/>
      <c r="G236" s="39" t="str">
        <f t="shared" si="2"/>
      </c>
      <c r="H236" s="40"/>
      <c r="I236" s="41"/>
      <c r="J236" s="41"/>
      <c r="K236" s="41"/>
      <c r="L236" s="42"/>
      <c r="M236" s="43"/>
      <c r="N236" s="44"/>
      <c r="O236" s="45"/>
      <c r="P236" s="46" t="str">
        <f>IFERROR(__xludf.DUMMYFUNCTION("IF(OR(AND(C236&lt;&gt;"""", LEN(C236)&lt;3), LEN(C236)&gt;60, AND(D236&lt;&gt;"""", NOT(ISNUMBER(D236))), AND(ISNUMBER(D236), OR(D236&lt;0.01, D236&gt;999999999)), AND(COUNTA(D236:F236, H236:N236)&gt;0, C236=""""),                  
  AND(COUNTA(C236, H236:N236)&gt;0, D236=""""), LEN("&amp;"H236)&gt;50, AND(I236&lt;&gt;"""", NOT(ISNUMBER(I236))), AND(ISNUMBER(I236), OR(I236&lt;0, I236&gt;99998)), AND(L236&lt;&gt;"""", NOT(REGEXMATCH(L236&amp;"""", ""^\d{8,14}$"")))), ""Erro"", """")"),"")</f>
      </c>
    </row>
    <row r="237" ht="22.5" customHeight="true">
      <c r="A237" s="33"/>
      <c r="B237" s="34" t="str">
        <f t="shared" si="1"/>
      </c>
      <c r="C237" s="35"/>
      <c r="D237" s="36"/>
      <c r="E237" s="37"/>
      <c r="F237" s="38"/>
      <c r="G237" s="39" t="str">
        <f t="shared" si="2"/>
      </c>
      <c r="H237" s="40"/>
      <c r="I237" s="41"/>
      <c r="J237" s="41"/>
      <c r="K237" s="41"/>
      <c r="L237" s="42"/>
      <c r="M237" s="43"/>
      <c r="N237" s="44"/>
      <c r="O237" s="45"/>
      <c r="P237" s="46" t="str">
        <f>IFERROR(__xludf.DUMMYFUNCTION("IF(OR(AND(C237&lt;&gt;"""", LEN(C237)&lt;3), LEN(C237)&gt;60, AND(D237&lt;&gt;"""", NOT(ISNUMBER(D237))), AND(ISNUMBER(D237), OR(D237&lt;0.01, D237&gt;999999999)), AND(COUNTA(D237:F237, H237:N237)&gt;0, C237=""""),                  
  AND(COUNTA(C237, H237:N237)&gt;0, D237=""""), LEN("&amp;"H237)&gt;50, AND(I237&lt;&gt;"""", NOT(ISNUMBER(I237))), AND(ISNUMBER(I237), OR(I237&lt;0, I237&gt;99998)), AND(L237&lt;&gt;"""", NOT(REGEXMATCH(L237&amp;"""", ""^\d{8,14}$"")))), ""Erro"", """")"),"")</f>
      </c>
    </row>
    <row r="238" ht="22.5" customHeight="true">
      <c r="A238" s="33"/>
      <c r="B238" s="34" t="str">
        <f t="shared" si="1"/>
      </c>
      <c r="C238" s="35"/>
      <c r="D238" s="36"/>
      <c r="E238" s="37"/>
      <c r="F238" s="38"/>
      <c r="G238" s="39" t="str">
        <f t="shared" si="2"/>
      </c>
      <c r="H238" s="40"/>
      <c r="I238" s="41"/>
      <c r="J238" s="41"/>
      <c r="K238" s="41"/>
      <c r="L238" s="42"/>
      <c r="M238" s="43"/>
      <c r="N238" s="44"/>
      <c r="O238" s="45"/>
      <c r="P238" s="46" t="str">
        <f>IFERROR(__xludf.DUMMYFUNCTION("IF(OR(AND(C238&lt;&gt;"""", LEN(C238)&lt;3), LEN(C238)&gt;60, AND(D238&lt;&gt;"""", NOT(ISNUMBER(D238))), AND(ISNUMBER(D238), OR(D238&lt;0.01, D238&gt;999999999)), AND(COUNTA(D238:F238, H238:N238)&gt;0, C238=""""),                  
  AND(COUNTA(C238, H238:N238)&gt;0, D238=""""), LEN("&amp;"H238)&gt;50, AND(I238&lt;&gt;"""", NOT(ISNUMBER(I238))), AND(ISNUMBER(I238), OR(I238&lt;0, I238&gt;99998)), AND(L238&lt;&gt;"""", NOT(REGEXMATCH(L238&amp;"""", ""^\d{8,14}$"")))), ""Erro"", """")"),"")</f>
      </c>
    </row>
    <row r="239" ht="22.5" customHeight="true">
      <c r="A239" s="33"/>
      <c r="B239" s="34" t="str">
        <f t="shared" si="1"/>
      </c>
      <c r="C239" s="35"/>
      <c r="D239" s="36"/>
      <c r="E239" s="37"/>
      <c r="F239" s="38"/>
      <c r="G239" s="39" t="str">
        <f t="shared" si="2"/>
      </c>
      <c r="H239" s="40"/>
      <c r="I239" s="41"/>
      <c r="J239" s="41"/>
      <c r="K239" s="41"/>
      <c r="L239" s="42"/>
      <c r="M239" s="43"/>
      <c r="N239" s="44"/>
      <c r="O239" s="45"/>
      <c r="P239" s="46" t="str">
        <f>IFERROR(__xludf.DUMMYFUNCTION("IF(OR(AND(C239&lt;&gt;"""", LEN(C239)&lt;3), LEN(C239)&gt;60, AND(D239&lt;&gt;"""", NOT(ISNUMBER(D239))), AND(ISNUMBER(D239), OR(D239&lt;0.01, D239&gt;999999999)), AND(COUNTA(D239:F239, H239:N239)&gt;0, C239=""""),                  
  AND(COUNTA(C239, H239:N239)&gt;0, D239=""""), LEN("&amp;"H239)&gt;50, AND(I239&lt;&gt;"""", NOT(ISNUMBER(I239))), AND(ISNUMBER(I239), OR(I239&lt;0, I239&gt;99998)), AND(L239&lt;&gt;"""", NOT(REGEXMATCH(L239&amp;"""", ""^\d{8,14}$"")))), ""Erro"", """")"),"")</f>
      </c>
    </row>
    <row r="240" ht="22.5" customHeight="true">
      <c r="A240" s="33"/>
      <c r="B240" s="34" t="str">
        <f t="shared" si="1"/>
      </c>
      <c r="C240" s="35"/>
      <c r="D240" s="36"/>
      <c r="E240" s="37"/>
      <c r="F240" s="38"/>
      <c r="G240" s="39" t="str">
        <f t="shared" si="2"/>
      </c>
      <c r="H240" s="40"/>
      <c r="I240" s="41"/>
      <c r="J240" s="41"/>
      <c r="K240" s="41"/>
      <c r="L240" s="42"/>
      <c r="M240" s="43"/>
      <c r="N240" s="44"/>
      <c r="O240" s="45"/>
      <c r="P240" s="46" t="str">
        <f>IFERROR(__xludf.DUMMYFUNCTION("IF(OR(AND(C240&lt;&gt;"""", LEN(C240)&lt;3), LEN(C240)&gt;60, AND(D240&lt;&gt;"""", NOT(ISNUMBER(D240))), AND(ISNUMBER(D240), OR(D240&lt;0.01, D240&gt;999999999)), AND(COUNTA(D240:F240, H240:N240)&gt;0, C240=""""),                  
  AND(COUNTA(C240, H240:N240)&gt;0, D240=""""), LEN("&amp;"H240)&gt;50, AND(I240&lt;&gt;"""", NOT(ISNUMBER(I240))), AND(ISNUMBER(I240), OR(I240&lt;0, I240&gt;99998)), AND(L240&lt;&gt;"""", NOT(REGEXMATCH(L240&amp;"""", ""^\d{8,14}$"")))), ""Erro"", """")"),"")</f>
      </c>
    </row>
    <row r="241" ht="22.5" customHeight="true">
      <c r="A241" s="33"/>
      <c r="B241" s="34" t="str">
        <f t="shared" si="1"/>
      </c>
      <c r="C241" s="35"/>
      <c r="D241" s="36"/>
      <c r="E241" s="37"/>
      <c r="F241" s="38"/>
      <c r="G241" s="39" t="str">
        <f t="shared" si="2"/>
      </c>
      <c r="H241" s="40"/>
      <c r="I241" s="41"/>
      <c r="J241" s="41"/>
      <c r="K241" s="41"/>
      <c r="L241" s="42"/>
      <c r="M241" s="43"/>
      <c r="N241" s="44"/>
      <c r="O241" s="45"/>
      <c r="P241" s="46" t="str">
        <f>IFERROR(__xludf.DUMMYFUNCTION("IF(OR(AND(C241&lt;&gt;"""", LEN(C241)&lt;3), LEN(C241)&gt;60, AND(D241&lt;&gt;"""", NOT(ISNUMBER(D241))), AND(ISNUMBER(D241), OR(D241&lt;0.01, D241&gt;999999999)), AND(COUNTA(D241:F241, H241:N241)&gt;0, C241=""""),                  
  AND(COUNTA(C241, H241:N241)&gt;0, D241=""""), LEN("&amp;"H241)&gt;50, AND(I241&lt;&gt;"""", NOT(ISNUMBER(I241))), AND(ISNUMBER(I241), OR(I241&lt;0, I241&gt;99998)), AND(L241&lt;&gt;"""", NOT(REGEXMATCH(L241&amp;"""", ""^\d{8,14}$"")))), ""Erro"", """")"),"")</f>
      </c>
    </row>
    <row r="242" ht="22.5" customHeight="true">
      <c r="A242" s="33"/>
      <c r="B242" s="34" t="str">
        <f t="shared" si="1"/>
      </c>
      <c r="C242" s="35"/>
      <c r="D242" s="36"/>
      <c r="E242" s="37"/>
      <c r="F242" s="38"/>
      <c r="G242" s="39" t="str">
        <f t="shared" si="2"/>
      </c>
      <c r="H242" s="40"/>
      <c r="I242" s="41"/>
      <c r="J242" s="41"/>
      <c r="K242" s="41"/>
      <c r="L242" s="42"/>
      <c r="M242" s="43"/>
      <c r="N242" s="44"/>
      <c r="O242" s="45"/>
      <c r="P242" s="46" t="str">
        <f>IFERROR(__xludf.DUMMYFUNCTION("IF(OR(AND(C242&lt;&gt;"""", LEN(C242)&lt;3), LEN(C242)&gt;60, AND(D242&lt;&gt;"""", NOT(ISNUMBER(D242))), AND(ISNUMBER(D242), OR(D242&lt;0.01, D242&gt;999999999)), AND(COUNTA(D242:F242, H242:N242)&gt;0, C242=""""),                  
  AND(COUNTA(C242, H242:N242)&gt;0, D242=""""), LEN("&amp;"H242)&gt;50, AND(I242&lt;&gt;"""", NOT(ISNUMBER(I242))), AND(ISNUMBER(I242), OR(I242&lt;0, I242&gt;99998)), AND(L242&lt;&gt;"""", NOT(REGEXMATCH(L242&amp;"""", ""^\d{8,14}$"")))), ""Erro"", """")"),"")</f>
      </c>
    </row>
    <row r="243" ht="22.5" customHeight="true">
      <c r="A243" s="33"/>
      <c r="B243" s="34" t="str">
        <f t="shared" si="1"/>
      </c>
      <c r="C243" s="35"/>
      <c r="D243" s="36"/>
      <c r="E243" s="37"/>
      <c r="F243" s="38"/>
      <c r="G243" s="39" t="str">
        <f t="shared" si="2"/>
      </c>
      <c r="H243" s="40"/>
      <c r="I243" s="41"/>
      <c r="J243" s="41"/>
      <c r="K243" s="41"/>
      <c r="L243" s="42"/>
      <c r="M243" s="43"/>
      <c r="N243" s="44"/>
      <c r="O243" s="45"/>
      <c r="P243" s="46" t="str">
        <f>IFERROR(__xludf.DUMMYFUNCTION("IF(OR(AND(C243&lt;&gt;"""", LEN(C243)&lt;3), LEN(C243)&gt;60, AND(D243&lt;&gt;"""", NOT(ISNUMBER(D243))), AND(ISNUMBER(D243), OR(D243&lt;0.01, D243&gt;999999999)), AND(COUNTA(D243:F243, H243:N243)&gt;0, C243=""""),                  
  AND(COUNTA(C243, H243:N243)&gt;0, D243=""""), LEN("&amp;"H243)&gt;50, AND(I243&lt;&gt;"""", NOT(ISNUMBER(I243))), AND(ISNUMBER(I243), OR(I243&lt;0, I243&gt;99998)), AND(L243&lt;&gt;"""", NOT(REGEXMATCH(L243&amp;"""", ""^\d{8,14}$"")))), ""Erro"", """")"),"")</f>
      </c>
    </row>
    <row r="244" ht="22.5" customHeight="true">
      <c r="A244" s="33"/>
      <c r="B244" s="34" t="str">
        <f t="shared" si="1"/>
      </c>
      <c r="C244" s="35"/>
      <c r="D244" s="36"/>
      <c r="E244" s="37"/>
      <c r="F244" s="38"/>
      <c r="G244" s="39" t="str">
        <f t="shared" si="2"/>
      </c>
      <c r="H244" s="40"/>
      <c r="I244" s="41"/>
      <c r="J244" s="41"/>
      <c r="K244" s="41"/>
      <c r="L244" s="42"/>
      <c r="M244" s="43"/>
      <c r="N244" s="44"/>
      <c r="O244" s="45"/>
      <c r="P244" s="46" t="str">
        <f>IFERROR(__xludf.DUMMYFUNCTION("IF(OR(AND(C244&lt;&gt;"""", LEN(C244)&lt;3), LEN(C244)&gt;60, AND(D244&lt;&gt;"""", NOT(ISNUMBER(D244))), AND(ISNUMBER(D244), OR(D244&lt;0.01, D244&gt;999999999)), AND(COUNTA(D244:F244, H244:N244)&gt;0, C244=""""),                  
  AND(COUNTA(C244, H244:N244)&gt;0, D244=""""), LEN("&amp;"H244)&gt;50, AND(I244&lt;&gt;"""", NOT(ISNUMBER(I244))), AND(ISNUMBER(I244), OR(I244&lt;0, I244&gt;99998)), AND(L244&lt;&gt;"""", NOT(REGEXMATCH(L244&amp;"""", ""^\d{8,14}$"")))), ""Erro"", """")"),"")</f>
      </c>
    </row>
    <row r="245" ht="22.5" customHeight="true">
      <c r="A245" s="33"/>
      <c r="B245" s="34" t="str">
        <f t="shared" si="1"/>
      </c>
      <c r="C245" s="35"/>
      <c r="D245" s="36"/>
      <c r="E245" s="37"/>
      <c r="F245" s="38"/>
      <c r="G245" s="39" t="str">
        <f t="shared" si="2"/>
      </c>
      <c r="H245" s="40"/>
      <c r="I245" s="41"/>
      <c r="J245" s="41"/>
      <c r="K245" s="41"/>
      <c r="L245" s="42"/>
      <c r="M245" s="43"/>
      <c r="N245" s="44"/>
      <c r="O245" s="45"/>
      <c r="P245" s="46" t="str">
        <f>IFERROR(__xludf.DUMMYFUNCTION("IF(OR(AND(C245&lt;&gt;"""", LEN(C245)&lt;3), LEN(C245)&gt;60, AND(D245&lt;&gt;"""", NOT(ISNUMBER(D245))), AND(ISNUMBER(D245), OR(D245&lt;0.01, D245&gt;999999999)), AND(COUNTA(D245:F245, H245:N245)&gt;0, C245=""""),                  
  AND(COUNTA(C245, H245:N245)&gt;0, D245=""""), LEN("&amp;"H245)&gt;50, AND(I245&lt;&gt;"""", NOT(ISNUMBER(I245))), AND(ISNUMBER(I245), OR(I245&lt;0, I245&gt;99998)), AND(L245&lt;&gt;"""", NOT(REGEXMATCH(L245&amp;"""", ""^\d{8,14}$"")))), ""Erro"", """")"),"")</f>
      </c>
    </row>
    <row r="246" ht="22.5" customHeight="true">
      <c r="A246" s="33"/>
      <c r="B246" s="34" t="str">
        <f t="shared" si="1"/>
      </c>
      <c r="C246" s="35"/>
      <c r="D246" s="36"/>
      <c r="E246" s="37"/>
      <c r="F246" s="38"/>
      <c r="G246" s="39" t="str">
        <f t="shared" si="2"/>
      </c>
      <c r="H246" s="40"/>
      <c r="I246" s="41"/>
      <c r="J246" s="41"/>
      <c r="K246" s="41"/>
      <c r="L246" s="42"/>
      <c r="M246" s="43"/>
      <c r="N246" s="44"/>
      <c r="O246" s="45"/>
      <c r="P246" s="46" t="str">
        <f>IFERROR(__xludf.DUMMYFUNCTION("IF(OR(AND(C246&lt;&gt;"""", LEN(C246)&lt;3), LEN(C246)&gt;60, AND(D246&lt;&gt;"""", NOT(ISNUMBER(D246))), AND(ISNUMBER(D246), OR(D246&lt;0.01, D246&gt;999999999)), AND(COUNTA(D246:F246, H246:N246)&gt;0, C246=""""),                  
  AND(COUNTA(C246, H246:N246)&gt;0, D246=""""), LEN("&amp;"H246)&gt;50, AND(I246&lt;&gt;"""", NOT(ISNUMBER(I246))), AND(ISNUMBER(I246), OR(I246&lt;0, I246&gt;99998)), AND(L246&lt;&gt;"""", NOT(REGEXMATCH(L246&amp;"""", ""^\d{8,14}$"")))), ""Erro"", """")"),"")</f>
      </c>
    </row>
    <row r="247" ht="22.5" customHeight="true">
      <c r="A247" s="33"/>
      <c r="B247" s="34" t="str">
        <f t="shared" si="1"/>
      </c>
      <c r="C247" s="35"/>
      <c r="D247" s="36"/>
      <c r="E247" s="37"/>
      <c r="F247" s="38"/>
      <c r="G247" s="39" t="str">
        <f t="shared" si="2"/>
      </c>
      <c r="H247" s="40"/>
      <c r="I247" s="41"/>
      <c r="J247" s="41"/>
      <c r="K247" s="41"/>
      <c r="L247" s="42"/>
      <c r="M247" s="43"/>
      <c r="N247" s="44"/>
      <c r="O247" s="45"/>
      <c r="P247" s="46" t="str">
        <f>IFERROR(__xludf.DUMMYFUNCTION("IF(OR(AND(C247&lt;&gt;"""", LEN(C247)&lt;3), LEN(C247)&gt;60, AND(D247&lt;&gt;"""", NOT(ISNUMBER(D247))), AND(ISNUMBER(D247), OR(D247&lt;0.01, D247&gt;999999999)), AND(COUNTA(D247:F247, H247:N247)&gt;0, C247=""""),                  
  AND(COUNTA(C247, H247:N247)&gt;0, D247=""""), LEN("&amp;"H247)&gt;50, AND(I247&lt;&gt;"""", NOT(ISNUMBER(I247))), AND(ISNUMBER(I247), OR(I247&lt;0, I247&gt;99998)), AND(L247&lt;&gt;"""", NOT(REGEXMATCH(L247&amp;"""", ""^\d{8,14}$"")))), ""Erro"", """")"),"")</f>
      </c>
    </row>
    <row r="248" ht="22.5" customHeight="true">
      <c r="A248" s="33"/>
      <c r="B248" s="34" t="str">
        <f t="shared" si="1"/>
      </c>
      <c r="C248" s="35"/>
      <c r="D248" s="36"/>
      <c r="E248" s="37"/>
      <c r="F248" s="38"/>
      <c r="G248" s="39" t="str">
        <f t="shared" si="2"/>
      </c>
      <c r="H248" s="40"/>
      <c r="I248" s="41"/>
      <c r="J248" s="41"/>
      <c r="K248" s="41"/>
      <c r="L248" s="42"/>
      <c r="M248" s="43"/>
      <c r="N248" s="44"/>
      <c r="O248" s="45"/>
      <c r="P248" s="46" t="str">
        <f>IFERROR(__xludf.DUMMYFUNCTION("IF(OR(AND(C248&lt;&gt;"""", LEN(C248)&lt;3), LEN(C248)&gt;60, AND(D248&lt;&gt;"""", NOT(ISNUMBER(D248))), AND(ISNUMBER(D248), OR(D248&lt;0.01, D248&gt;999999999)), AND(COUNTA(D248:F248, H248:N248)&gt;0, C248=""""),                  
  AND(COUNTA(C248, H248:N248)&gt;0, D248=""""), LEN("&amp;"H248)&gt;50, AND(I248&lt;&gt;"""", NOT(ISNUMBER(I248))), AND(ISNUMBER(I248), OR(I248&lt;0, I248&gt;99998)), AND(L248&lt;&gt;"""", NOT(REGEXMATCH(L248&amp;"""", ""^\d{8,14}$"")))), ""Erro"", """")"),"")</f>
      </c>
    </row>
    <row r="249" ht="22.5" customHeight="true">
      <c r="A249" s="33"/>
      <c r="B249" s="34" t="str">
        <f t="shared" si="1"/>
      </c>
      <c r="C249" s="35"/>
      <c r="D249" s="36"/>
      <c r="E249" s="37"/>
      <c r="F249" s="38"/>
      <c r="G249" s="39" t="str">
        <f t="shared" si="2"/>
      </c>
      <c r="H249" s="40"/>
      <c r="I249" s="41"/>
      <c r="J249" s="41"/>
      <c r="K249" s="41"/>
      <c r="L249" s="42"/>
      <c r="M249" s="43"/>
      <c r="N249" s="44"/>
      <c r="O249" s="45"/>
      <c r="P249" s="46" t="str">
        <f>IFERROR(__xludf.DUMMYFUNCTION("IF(OR(AND(C249&lt;&gt;"""", LEN(C249)&lt;3), LEN(C249)&gt;60, AND(D249&lt;&gt;"""", NOT(ISNUMBER(D249))), AND(ISNUMBER(D249), OR(D249&lt;0.01, D249&gt;999999999)), AND(COUNTA(D249:F249, H249:N249)&gt;0, C249=""""),                  
  AND(COUNTA(C249, H249:N249)&gt;0, D249=""""), LEN("&amp;"H249)&gt;50, AND(I249&lt;&gt;"""", NOT(ISNUMBER(I249))), AND(ISNUMBER(I249), OR(I249&lt;0, I249&gt;99998)), AND(L249&lt;&gt;"""", NOT(REGEXMATCH(L249&amp;"""", ""^\d{8,14}$"")))), ""Erro"", """")"),"")</f>
      </c>
    </row>
    <row r="250" ht="22.5" customHeight="true">
      <c r="A250" s="33"/>
      <c r="B250" s="34" t="str">
        <f t="shared" si="1"/>
      </c>
      <c r="C250" s="35"/>
      <c r="D250" s="36"/>
      <c r="E250" s="37"/>
      <c r="F250" s="38"/>
      <c r="G250" s="39" t="str">
        <f t="shared" si="2"/>
      </c>
      <c r="H250" s="40"/>
      <c r="I250" s="41"/>
      <c r="J250" s="41"/>
      <c r="K250" s="41"/>
      <c r="L250" s="42"/>
      <c r="M250" s="43"/>
      <c r="N250" s="44"/>
      <c r="O250" s="45"/>
      <c r="P250" s="46" t="str">
        <f>IFERROR(__xludf.DUMMYFUNCTION("IF(OR(AND(C250&lt;&gt;"""", LEN(C250)&lt;3), LEN(C250)&gt;60, AND(D250&lt;&gt;"""", NOT(ISNUMBER(D250))), AND(ISNUMBER(D250), OR(D250&lt;0.01, D250&gt;999999999)), AND(COUNTA(D250:F250, H250:N250)&gt;0, C250=""""),                  
  AND(COUNTA(C250, H250:N250)&gt;0, D250=""""), LEN("&amp;"H250)&gt;50, AND(I250&lt;&gt;"""", NOT(ISNUMBER(I250))), AND(ISNUMBER(I250), OR(I250&lt;0, I250&gt;99998)), AND(L250&lt;&gt;"""", NOT(REGEXMATCH(L250&amp;"""", ""^\d{8,14}$"")))), ""Erro"", """")"),"")</f>
      </c>
    </row>
    <row r="251" ht="22.5" customHeight="true">
      <c r="A251" s="33"/>
      <c r="B251" s="34" t="str">
        <f t="shared" si="1"/>
      </c>
      <c r="C251" s="35"/>
      <c r="D251" s="36"/>
      <c r="E251" s="37"/>
      <c r="F251" s="38"/>
      <c r="G251" s="39" t="str">
        <f t="shared" si="2"/>
      </c>
      <c r="H251" s="40"/>
      <c r="I251" s="41"/>
      <c r="J251" s="41"/>
      <c r="K251" s="41"/>
      <c r="L251" s="42"/>
      <c r="M251" s="43"/>
      <c r="N251" s="44"/>
      <c r="O251" s="45"/>
      <c r="P251" s="46" t="str">
        <f>IFERROR(__xludf.DUMMYFUNCTION("IF(OR(AND(C251&lt;&gt;"""", LEN(C251)&lt;3), LEN(C251)&gt;60, AND(D251&lt;&gt;"""", NOT(ISNUMBER(D251))), AND(ISNUMBER(D251), OR(D251&lt;0.01, D251&gt;999999999)), AND(COUNTA(D251:F251, H251:N251)&gt;0, C251=""""),                  
  AND(COUNTA(C251, H251:N251)&gt;0, D251=""""), LEN("&amp;"H251)&gt;50, AND(I251&lt;&gt;"""", NOT(ISNUMBER(I251))), AND(ISNUMBER(I251), OR(I251&lt;0, I251&gt;99998)), AND(L251&lt;&gt;"""", NOT(REGEXMATCH(L251&amp;"""", ""^\d{8,14}$"")))), ""Erro"", """")"),"")</f>
      </c>
    </row>
    <row r="252" ht="22.5" customHeight="true">
      <c r="A252" s="33"/>
      <c r="B252" s="34" t="str">
        <f t="shared" si="1"/>
      </c>
      <c r="C252" s="35"/>
      <c r="D252" s="36"/>
      <c r="E252" s="37"/>
      <c r="F252" s="38"/>
      <c r="G252" s="39" t="str">
        <f t="shared" si="2"/>
      </c>
      <c r="H252" s="40"/>
      <c r="I252" s="41"/>
      <c r="J252" s="41"/>
      <c r="K252" s="41"/>
      <c r="L252" s="42"/>
      <c r="M252" s="43"/>
      <c r="N252" s="44"/>
      <c r="O252" s="45"/>
      <c r="P252" s="46" t="str">
        <f>IFERROR(__xludf.DUMMYFUNCTION("IF(OR(AND(C252&lt;&gt;"""", LEN(C252)&lt;3), LEN(C252)&gt;60, AND(D252&lt;&gt;"""", NOT(ISNUMBER(D252))), AND(ISNUMBER(D252), OR(D252&lt;0.01, D252&gt;999999999)), AND(COUNTA(D252:F252, H252:N252)&gt;0, C252=""""),                  
  AND(COUNTA(C252, H252:N252)&gt;0, D252=""""), LEN("&amp;"H252)&gt;50, AND(I252&lt;&gt;"""", NOT(ISNUMBER(I252))), AND(ISNUMBER(I252), OR(I252&lt;0, I252&gt;99998)), AND(L252&lt;&gt;"""", NOT(REGEXMATCH(L252&amp;"""", ""^\d{8,14}$"")))), ""Erro"", """")"),"")</f>
      </c>
    </row>
    <row r="253" ht="22.5" customHeight="true">
      <c r="A253" s="33"/>
      <c r="B253" s="34" t="str">
        <f t="shared" si="1"/>
      </c>
      <c r="C253" s="35"/>
      <c r="D253" s="36"/>
      <c r="E253" s="37"/>
      <c r="F253" s="38"/>
      <c r="G253" s="39" t="str">
        <f t="shared" si="2"/>
      </c>
      <c r="H253" s="40"/>
      <c r="I253" s="41"/>
      <c r="J253" s="41"/>
      <c r="K253" s="41"/>
      <c r="L253" s="42"/>
      <c r="M253" s="43"/>
      <c r="N253" s="44"/>
      <c r="O253" s="45"/>
      <c r="P253" s="46" t="str">
        <f>IFERROR(__xludf.DUMMYFUNCTION("IF(OR(AND(C253&lt;&gt;"""", LEN(C253)&lt;3), LEN(C253)&gt;60, AND(D253&lt;&gt;"""", NOT(ISNUMBER(D253))), AND(ISNUMBER(D253), OR(D253&lt;0.01, D253&gt;999999999)), AND(COUNTA(D253:F253, H253:N253)&gt;0, C253=""""),                  
  AND(COUNTA(C253, H253:N253)&gt;0, D253=""""), LEN("&amp;"H253)&gt;50, AND(I253&lt;&gt;"""", NOT(ISNUMBER(I253))), AND(ISNUMBER(I253), OR(I253&lt;0, I253&gt;99998)), AND(L253&lt;&gt;"""", NOT(REGEXMATCH(L253&amp;"""", ""^\d{8,14}$"")))), ""Erro"", """")"),"")</f>
      </c>
    </row>
    <row r="254" ht="22.5" customHeight="true">
      <c r="A254" s="33"/>
      <c r="B254" s="34" t="str">
        <f t="shared" si="1"/>
      </c>
      <c r="C254" s="35"/>
      <c r="D254" s="36"/>
      <c r="E254" s="37"/>
      <c r="F254" s="38"/>
      <c r="G254" s="39" t="str">
        <f t="shared" si="2"/>
      </c>
      <c r="H254" s="40"/>
      <c r="I254" s="41"/>
      <c r="J254" s="41"/>
      <c r="K254" s="41"/>
      <c r="L254" s="42"/>
      <c r="M254" s="43"/>
      <c r="N254" s="44"/>
      <c r="O254" s="45"/>
      <c r="P254" s="46" t="str">
        <f>IFERROR(__xludf.DUMMYFUNCTION("IF(OR(AND(C254&lt;&gt;"""", LEN(C254)&lt;3), LEN(C254)&gt;60, AND(D254&lt;&gt;"""", NOT(ISNUMBER(D254))), AND(ISNUMBER(D254), OR(D254&lt;0.01, D254&gt;999999999)), AND(COUNTA(D254:F254, H254:N254)&gt;0, C254=""""),                  
  AND(COUNTA(C254, H254:N254)&gt;0, D254=""""), LEN("&amp;"H254)&gt;50, AND(I254&lt;&gt;"""", NOT(ISNUMBER(I254))), AND(ISNUMBER(I254), OR(I254&lt;0, I254&gt;99998)), AND(L254&lt;&gt;"""", NOT(REGEXMATCH(L254&amp;"""", ""^\d{8,14}$"")))), ""Erro"", """")"),"")</f>
      </c>
    </row>
    <row r="255" ht="22.5" customHeight="true">
      <c r="A255" s="33"/>
      <c r="B255" s="34" t="str">
        <f t="shared" si="1"/>
      </c>
      <c r="C255" s="35"/>
      <c r="D255" s="36"/>
      <c r="E255" s="37"/>
      <c r="F255" s="38"/>
      <c r="G255" s="39" t="str">
        <f t="shared" si="2"/>
      </c>
      <c r="H255" s="40"/>
      <c r="I255" s="41"/>
      <c r="J255" s="41"/>
      <c r="K255" s="41"/>
      <c r="L255" s="42"/>
      <c r="M255" s="43"/>
      <c r="N255" s="44"/>
      <c r="O255" s="45"/>
      <c r="P255" s="46" t="str">
        <f>IFERROR(__xludf.DUMMYFUNCTION("IF(OR(AND(C255&lt;&gt;"""", LEN(C255)&lt;3), LEN(C255)&gt;60, AND(D255&lt;&gt;"""", NOT(ISNUMBER(D255))), AND(ISNUMBER(D255), OR(D255&lt;0.01, D255&gt;999999999)), AND(COUNTA(D255:F255, H255:N255)&gt;0, C255=""""),                  
  AND(COUNTA(C255, H255:N255)&gt;0, D255=""""), LEN("&amp;"H255)&gt;50, AND(I255&lt;&gt;"""", NOT(ISNUMBER(I255))), AND(ISNUMBER(I255), OR(I255&lt;0, I255&gt;99998)), AND(L255&lt;&gt;"""", NOT(REGEXMATCH(L255&amp;"""", ""^\d{8,14}$"")))), ""Erro"", """")"),"")</f>
      </c>
    </row>
    <row r="256" ht="22.5" customHeight="true">
      <c r="A256" s="33"/>
      <c r="B256" s="34" t="str">
        <f t="shared" si="1"/>
      </c>
      <c r="C256" s="35"/>
      <c r="D256" s="36"/>
      <c r="E256" s="37"/>
      <c r="F256" s="38"/>
      <c r="G256" s="39" t="str">
        <f t="shared" si="2"/>
      </c>
      <c r="H256" s="40"/>
      <c r="I256" s="41"/>
      <c r="J256" s="41"/>
      <c r="K256" s="41"/>
      <c r="L256" s="42"/>
      <c r="M256" s="43"/>
      <c r="N256" s="44"/>
      <c r="O256" s="45"/>
      <c r="P256" s="46" t="str">
        <f>IFERROR(__xludf.DUMMYFUNCTION("IF(OR(AND(C256&lt;&gt;"""", LEN(C256)&lt;3), LEN(C256)&gt;60, AND(D256&lt;&gt;"""", NOT(ISNUMBER(D256))), AND(ISNUMBER(D256), OR(D256&lt;0.01, D256&gt;999999999)), AND(COUNTA(D256:F256, H256:N256)&gt;0, C256=""""),                  
  AND(COUNTA(C256, H256:N256)&gt;0, D256=""""), LEN("&amp;"H256)&gt;50, AND(I256&lt;&gt;"""", NOT(ISNUMBER(I256))), AND(ISNUMBER(I256), OR(I256&lt;0, I256&gt;99998)), AND(L256&lt;&gt;"""", NOT(REGEXMATCH(L256&amp;"""", ""^\d{8,14}$"")))), ""Erro"", """")"),"")</f>
      </c>
    </row>
    <row r="257" ht="22.5" customHeight="true">
      <c r="A257" s="33"/>
      <c r="B257" s="34" t="str">
        <f t="shared" si="1"/>
      </c>
      <c r="C257" s="35"/>
      <c r="D257" s="36"/>
      <c r="E257" s="37"/>
      <c r="F257" s="38"/>
      <c r="G257" s="39" t="str">
        <f t="shared" si="2"/>
      </c>
      <c r="H257" s="40"/>
      <c r="I257" s="41"/>
      <c r="J257" s="41"/>
      <c r="K257" s="41"/>
      <c r="L257" s="42"/>
      <c r="M257" s="43"/>
      <c r="N257" s="44"/>
      <c r="O257" s="45"/>
      <c r="P257" s="46" t="str">
        <f>IFERROR(__xludf.DUMMYFUNCTION("IF(OR(AND(C257&lt;&gt;"""", LEN(C257)&lt;3), LEN(C257)&gt;60, AND(D257&lt;&gt;"""", NOT(ISNUMBER(D257))), AND(ISNUMBER(D257), OR(D257&lt;0.01, D257&gt;999999999)), AND(COUNTA(D257:F257, H257:N257)&gt;0, C257=""""),                  
  AND(COUNTA(C257, H257:N257)&gt;0, D257=""""), LEN("&amp;"H257)&gt;50, AND(I257&lt;&gt;"""", NOT(ISNUMBER(I257))), AND(ISNUMBER(I257), OR(I257&lt;0, I257&gt;99998)), AND(L257&lt;&gt;"""", NOT(REGEXMATCH(L257&amp;"""", ""^\d{8,14}$"")))), ""Erro"", """")"),"")</f>
      </c>
    </row>
    <row r="258" ht="22.5" customHeight="true">
      <c r="A258" s="33"/>
      <c r="B258" s="34" t="str">
        <f t="shared" si="1"/>
      </c>
      <c r="C258" s="35"/>
      <c r="D258" s="36"/>
      <c r="E258" s="37"/>
      <c r="F258" s="38"/>
      <c r="G258" s="39" t="str">
        <f t="shared" si="2"/>
      </c>
      <c r="H258" s="40"/>
      <c r="I258" s="41"/>
      <c r="J258" s="41"/>
      <c r="K258" s="41"/>
      <c r="L258" s="42"/>
      <c r="M258" s="43"/>
      <c r="N258" s="44"/>
      <c r="O258" s="45"/>
      <c r="P258" s="46" t="str">
        <f>IFERROR(__xludf.DUMMYFUNCTION("IF(OR(AND(C258&lt;&gt;"""", LEN(C258)&lt;3), LEN(C258)&gt;60, AND(D258&lt;&gt;"""", NOT(ISNUMBER(D258))), AND(ISNUMBER(D258), OR(D258&lt;0.01, D258&gt;999999999)), AND(COUNTA(D258:F258, H258:N258)&gt;0, C258=""""),                  
  AND(COUNTA(C258, H258:N258)&gt;0, D258=""""), LEN("&amp;"H258)&gt;50, AND(I258&lt;&gt;"""", NOT(ISNUMBER(I258))), AND(ISNUMBER(I258), OR(I258&lt;0, I258&gt;99998)), AND(L258&lt;&gt;"""", NOT(REGEXMATCH(L258&amp;"""", ""^\d{8,14}$"")))), ""Erro"", """")"),"")</f>
      </c>
    </row>
    <row r="259" ht="22.5" customHeight="true">
      <c r="A259" s="33"/>
      <c r="B259" s="34" t="str">
        <f t="shared" si="1"/>
      </c>
      <c r="C259" s="35"/>
      <c r="D259" s="36"/>
      <c r="E259" s="37"/>
      <c r="F259" s="38"/>
      <c r="G259" s="39" t="str">
        <f t="shared" si="2"/>
      </c>
      <c r="H259" s="40"/>
      <c r="I259" s="41"/>
      <c r="J259" s="41"/>
      <c r="K259" s="41"/>
      <c r="L259" s="42"/>
      <c r="M259" s="43"/>
      <c r="N259" s="44"/>
      <c r="O259" s="45"/>
      <c r="P259" s="46" t="str">
        <f>IFERROR(__xludf.DUMMYFUNCTION("IF(OR(AND(C259&lt;&gt;"""", LEN(C259)&lt;3), LEN(C259)&gt;60, AND(D259&lt;&gt;"""", NOT(ISNUMBER(D259))), AND(ISNUMBER(D259), OR(D259&lt;0.01, D259&gt;999999999)), AND(COUNTA(D259:F259, H259:N259)&gt;0, C259=""""),                  
  AND(COUNTA(C259, H259:N259)&gt;0, D259=""""), LEN("&amp;"H259)&gt;50, AND(I259&lt;&gt;"""", NOT(ISNUMBER(I259))), AND(ISNUMBER(I259), OR(I259&lt;0, I259&gt;99998)), AND(L259&lt;&gt;"""", NOT(REGEXMATCH(L259&amp;"""", ""^\d{8,14}$"")))), ""Erro"", """")"),"")</f>
      </c>
    </row>
    <row r="260" ht="22.5" customHeight="true">
      <c r="A260" s="33"/>
      <c r="B260" s="34" t="str">
        <f t="shared" si="1"/>
      </c>
      <c r="C260" s="35"/>
      <c r="D260" s="36"/>
      <c r="E260" s="37"/>
      <c r="F260" s="38"/>
      <c r="G260" s="39" t="str">
        <f t="shared" si="2"/>
      </c>
      <c r="H260" s="40"/>
      <c r="I260" s="41"/>
      <c r="J260" s="41"/>
      <c r="K260" s="41"/>
      <c r="L260" s="42"/>
      <c r="M260" s="43"/>
      <c r="N260" s="44"/>
      <c r="O260" s="45"/>
      <c r="P260" s="46" t="str">
        <f>IFERROR(__xludf.DUMMYFUNCTION("IF(OR(AND(C260&lt;&gt;"""", LEN(C260)&lt;3), LEN(C260)&gt;60, AND(D260&lt;&gt;"""", NOT(ISNUMBER(D260))), AND(ISNUMBER(D260), OR(D260&lt;0.01, D260&gt;999999999)), AND(COUNTA(D260:F260, H260:N260)&gt;0, C260=""""),                  
  AND(COUNTA(C260, H260:N260)&gt;0, D260=""""), LEN("&amp;"H260)&gt;50, AND(I260&lt;&gt;"""", NOT(ISNUMBER(I260))), AND(ISNUMBER(I260), OR(I260&lt;0, I260&gt;99998)), AND(L260&lt;&gt;"""", NOT(REGEXMATCH(L260&amp;"""", ""^\d{8,14}$"")))), ""Erro"", """")"),"")</f>
      </c>
    </row>
    <row r="261" ht="22.5" customHeight="true">
      <c r="A261" s="33"/>
      <c r="B261" s="34" t="str">
        <f t="shared" si="1"/>
      </c>
      <c r="C261" s="35"/>
      <c r="D261" s="36"/>
      <c r="E261" s="37"/>
      <c r="F261" s="38"/>
      <c r="G261" s="39" t="str">
        <f t="shared" si="2"/>
      </c>
      <c r="H261" s="40"/>
      <c r="I261" s="41"/>
      <c r="J261" s="41"/>
      <c r="K261" s="41"/>
      <c r="L261" s="42"/>
      <c r="M261" s="43"/>
      <c r="N261" s="44"/>
      <c r="O261" s="45"/>
      <c r="P261" s="46" t="str">
        <f>IFERROR(__xludf.DUMMYFUNCTION("IF(OR(AND(C261&lt;&gt;"""", LEN(C261)&lt;3), LEN(C261)&gt;60, AND(D261&lt;&gt;"""", NOT(ISNUMBER(D261))), AND(ISNUMBER(D261), OR(D261&lt;0.01, D261&gt;999999999)), AND(COUNTA(D261:F261, H261:N261)&gt;0, C261=""""),                  
  AND(COUNTA(C261, H261:N261)&gt;0, D261=""""), LEN("&amp;"H261)&gt;50, AND(I261&lt;&gt;"""", NOT(ISNUMBER(I261))), AND(ISNUMBER(I261), OR(I261&lt;0, I261&gt;99998)), AND(L261&lt;&gt;"""", NOT(REGEXMATCH(L261&amp;"""", ""^\d{8,14}$"")))), ""Erro"", """")"),"")</f>
      </c>
    </row>
    <row r="262" ht="22.5" customHeight="true">
      <c r="A262" s="33"/>
      <c r="B262" s="34" t="str">
        <f t="shared" si="1"/>
      </c>
      <c r="C262" s="35"/>
      <c r="D262" s="36"/>
      <c r="E262" s="37"/>
      <c r="F262" s="38"/>
      <c r="G262" s="39" t="str">
        <f t="shared" si="2"/>
      </c>
      <c r="H262" s="40"/>
      <c r="I262" s="41"/>
      <c r="J262" s="41"/>
      <c r="K262" s="41"/>
      <c r="L262" s="42"/>
      <c r="M262" s="43"/>
      <c r="N262" s="44"/>
      <c r="O262" s="45"/>
      <c r="P262" s="46" t="str">
        <f>IFERROR(__xludf.DUMMYFUNCTION("IF(OR(AND(C262&lt;&gt;"""", LEN(C262)&lt;3), LEN(C262)&gt;60, AND(D262&lt;&gt;"""", NOT(ISNUMBER(D262))), AND(ISNUMBER(D262), OR(D262&lt;0.01, D262&gt;999999999)), AND(COUNTA(D262:F262, H262:N262)&gt;0, C262=""""),                  
  AND(COUNTA(C262, H262:N262)&gt;0, D262=""""), LEN("&amp;"H262)&gt;50, AND(I262&lt;&gt;"""", NOT(ISNUMBER(I262))), AND(ISNUMBER(I262), OR(I262&lt;0, I262&gt;99998)), AND(L262&lt;&gt;"""", NOT(REGEXMATCH(L262&amp;"""", ""^\d{8,14}$"")))), ""Erro"", """")"),"")</f>
      </c>
    </row>
    <row r="263" ht="22.5" customHeight="true">
      <c r="A263" s="33"/>
      <c r="B263" s="34" t="str">
        <f t="shared" si="1"/>
      </c>
      <c r="C263" s="35"/>
      <c r="D263" s="36"/>
      <c r="E263" s="37"/>
      <c r="F263" s="38"/>
      <c r="G263" s="39" t="str">
        <f t="shared" si="2"/>
      </c>
      <c r="H263" s="40"/>
      <c r="I263" s="41"/>
      <c r="J263" s="41"/>
      <c r="K263" s="41"/>
      <c r="L263" s="42"/>
      <c r="M263" s="43"/>
      <c r="N263" s="44"/>
      <c r="O263" s="45"/>
      <c r="P263" s="46" t="str">
        <f>IFERROR(__xludf.DUMMYFUNCTION("IF(OR(AND(C263&lt;&gt;"""", LEN(C263)&lt;3), LEN(C263)&gt;60, AND(D263&lt;&gt;"""", NOT(ISNUMBER(D263))), AND(ISNUMBER(D263), OR(D263&lt;0.01, D263&gt;999999999)), AND(COUNTA(D263:F263, H263:N263)&gt;0, C263=""""),                  
  AND(COUNTA(C263, H263:N263)&gt;0, D263=""""), LEN("&amp;"H263)&gt;50, AND(I263&lt;&gt;"""", NOT(ISNUMBER(I263))), AND(ISNUMBER(I263), OR(I263&lt;0, I263&gt;99998)), AND(L263&lt;&gt;"""", NOT(REGEXMATCH(L263&amp;"""", ""^\d{8,14}$"")))), ""Erro"", """")"),"")</f>
      </c>
    </row>
    <row r="264" ht="22.5" customHeight="true">
      <c r="A264" s="33"/>
      <c r="B264" s="34" t="str">
        <f t="shared" si="1"/>
      </c>
      <c r="C264" s="35"/>
      <c r="D264" s="36"/>
      <c r="E264" s="37"/>
      <c r="F264" s="38"/>
      <c r="G264" s="39" t="str">
        <f t="shared" si="2"/>
      </c>
      <c r="H264" s="40"/>
      <c r="I264" s="41"/>
      <c r="J264" s="41"/>
      <c r="K264" s="41"/>
      <c r="L264" s="42"/>
      <c r="M264" s="43"/>
      <c r="N264" s="44"/>
      <c r="O264" s="45"/>
      <c r="P264" s="46" t="str">
        <f>IFERROR(__xludf.DUMMYFUNCTION("IF(OR(AND(C264&lt;&gt;"""", LEN(C264)&lt;3), LEN(C264)&gt;60, AND(D264&lt;&gt;"""", NOT(ISNUMBER(D264))), AND(ISNUMBER(D264), OR(D264&lt;0.01, D264&gt;999999999)), AND(COUNTA(D264:F264, H264:N264)&gt;0, C264=""""),                  
  AND(COUNTA(C264, H264:N264)&gt;0, D264=""""), LEN("&amp;"H264)&gt;50, AND(I264&lt;&gt;"""", NOT(ISNUMBER(I264))), AND(ISNUMBER(I264), OR(I264&lt;0, I264&gt;99998)), AND(L264&lt;&gt;"""", NOT(REGEXMATCH(L264&amp;"""", ""^\d{8,14}$"")))), ""Erro"", """")"),"")</f>
      </c>
    </row>
    <row r="265" ht="22.5" customHeight="true">
      <c r="A265" s="33"/>
      <c r="B265" s="34" t="str">
        <f t="shared" si="1"/>
      </c>
      <c r="C265" s="35"/>
      <c r="D265" s="36"/>
      <c r="E265" s="37"/>
      <c r="F265" s="38"/>
      <c r="G265" s="39" t="str">
        <f t="shared" si="2"/>
      </c>
      <c r="H265" s="40"/>
      <c r="I265" s="41"/>
      <c r="J265" s="41"/>
      <c r="K265" s="41"/>
      <c r="L265" s="42"/>
      <c r="M265" s="43"/>
      <c r="N265" s="44"/>
      <c r="O265" s="45"/>
      <c r="P265" s="46" t="str">
        <f>IFERROR(__xludf.DUMMYFUNCTION("IF(OR(AND(C265&lt;&gt;"""", LEN(C265)&lt;3), LEN(C265)&gt;60, AND(D265&lt;&gt;"""", NOT(ISNUMBER(D265))), AND(ISNUMBER(D265), OR(D265&lt;0.01, D265&gt;999999999)), AND(COUNTA(D265:F265, H265:N265)&gt;0, C265=""""),                  
  AND(COUNTA(C265, H265:N265)&gt;0, D265=""""), LEN("&amp;"H265)&gt;50, AND(I265&lt;&gt;"""", NOT(ISNUMBER(I265))), AND(ISNUMBER(I265), OR(I265&lt;0, I265&gt;99998)), AND(L265&lt;&gt;"""", NOT(REGEXMATCH(L265&amp;"""", ""^\d{8,14}$"")))), ""Erro"", """")"),"")</f>
      </c>
    </row>
    <row r="266" ht="22.5" customHeight="true">
      <c r="A266" s="33"/>
      <c r="B266" s="34" t="str">
        <f t="shared" si="1"/>
      </c>
      <c r="C266" s="35"/>
      <c r="D266" s="36"/>
      <c r="E266" s="37"/>
      <c r="F266" s="38"/>
      <c r="G266" s="39" t="str">
        <f t="shared" si="2"/>
      </c>
      <c r="H266" s="40"/>
      <c r="I266" s="41"/>
      <c r="J266" s="41"/>
      <c r="K266" s="41"/>
      <c r="L266" s="42"/>
      <c r="M266" s="43"/>
      <c r="N266" s="44"/>
      <c r="O266" s="45"/>
      <c r="P266" s="46" t="str">
        <f>IFERROR(__xludf.DUMMYFUNCTION("IF(OR(AND(C266&lt;&gt;"""", LEN(C266)&lt;3), LEN(C266)&gt;60, AND(D266&lt;&gt;"""", NOT(ISNUMBER(D266))), AND(ISNUMBER(D266), OR(D266&lt;0.01, D266&gt;999999999)), AND(COUNTA(D266:F266, H266:N266)&gt;0, C266=""""),                  
  AND(COUNTA(C266, H266:N266)&gt;0, D266=""""), LEN("&amp;"H266)&gt;50, AND(I266&lt;&gt;"""", NOT(ISNUMBER(I266))), AND(ISNUMBER(I266), OR(I266&lt;0, I266&gt;99998)), AND(L266&lt;&gt;"""", NOT(REGEXMATCH(L266&amp;"""", ""^\d{8,14}$"")))), ""Erro"", """")"),"")</f>
      </c>
    </row>
    <row r="267" ht="22.5" customHeight="true">
      <c r="A267" s="33"/>
      <c r="B267" s="34" t="str">
        <f t="shared" si="1"/>
      </c>
      <c r="C267" s="35"/>
      <c r="D267" s="36"/>
      <c r="E267" s="37"/>
      <c r="F267" s="38"/>
      <c r="G267" s="39" t="str">
        <f t="shared" si="2"/>
      </c>
      <c r="H267" s="40"/>
      <c r="I267" s="41"/>
      <c r="J267" s="41"/>
      <c r="K267" s="41"/>
      <c r="L267" s="42"/>
      <c r="M267" s="43"/>
      <c r="N267" s="44"/>
      <c r="O267" s="45"/>
      <c r="P267" s="46" t="str">
        <f>IFERROR(__xludf.DUMMYFUNCTION("IF(OR(AND(C267&lt;&gt;"""", LEN(C267)&lt;3), LEN(C267)&gt;60, AND(D267&lt;&gt;"""", NOT(ISNUMBER(D267))), AND(ISNUMBER(D267), OR(D267&lt;0.01, D267&gt;999999999)), AND(COUNTA(D267:F267, H267:N267)&gt;0, C267=""""),                  
  AND(COUNTA(C267, H267:N267)&gt;0, D267=""""), LEN("&amp;"H267)&gt;50, AND(I267&lt;&gt;"""", NOT(ISNUMBER(I267))), AND(ISNUMBER(I267), OR(I267&lt;0, I267&gt;99998)), AND(L267&lt;&gt;"""", NOT(REGEXMATCH(L267&amp;"""", ""^\d{8,14}$"")))), ""Erro"", """")"),"")</f>
      </c>
    </row>
    <row r="268" ht="22.5" customHeight="true">
      <c r="A268" s="33"/>
      <c r="B268" s="34" t="str">
        <f t="shared" si="1"/>
      </c>
      <c r="C268" s="35"/>
      <c r="D268" s="36"/>
      <c r="E268" s="37"/>
      <c r="F268" s="38"/>
      <c r="G268" s="39" t="str">
        <f t="shared" si="2"/>
      </c>
      <c r="H268" s="40"/>
      <c r="I268" s="41"/>
      <c r="J268" s="41"/>
      <c r="K268" s="41"/>
      <c r="L268" s="42"/>
      <c r="M268" s="43"/>
      <c r="N268" s="44"/>
      <c r="O268" s="45"/>
      <c r="P268" s="46" t="str">
        <f>IFERROR(__xludf.DUMMYFUNCTION("IF(OR(AND(C268&lt;&gt;"""", LEN(C268)&lt;3), LEN(C268)&gt;60, AND(D268&lt;&gt;"""", NOT(ISNUMBER(D268))), AND(ISNUMBER(D268), OR(D268&lt;0.01, D268&gt;999999999)), AND(COUNTA(D268:F268, H268:N268)&gt;0, C268=""""),                  
  AND(COUNTA(C268, H268:N268)&gt;0, D268=""""), LEN("&amp;"H268)&gt;50, AND(I268&lt;&gt;"""", NOT(ISNUMBER(I268))), AND(ISNUMBER(I268), OR(I268&lt;0, I268&gt;99998)), AND(L268&lt;&gt;"""", NOT(REGEXMATCH(L268&amp;"""", ""^\d{8,14}$"")))), ""Erro"", """")"),"")</f>
      </c>
    </row>
    <row r="269" ht="22.5" customHeight="true">
      <c r="A269" s="33"/>
      <c r="B269" s="34" t="str">
        <f t="shared" si="1"/>
      </c>
      <c r="C269" s="35"/>
      <c r="D269" s="36"/>
      <c r="E269" s="37"/>
      <c r="F269" s="38"/>
      <c r="G269" s="39" t="str">
        <f t="shared" si="2"/>
      </c>
      <c r="H269" s="40"/>
      <c r="I269" s="41"/>
      <c r="J269" s="41"/>
      <c r="K269" s="41"/>
      <c r="L269" s="42"/>
      <c r="M269" s="43"/>
      <c r="N269" s="44"/>
      <c r="O269" s="45"/>
      <c r="P269" s="46" t="str">
        <f>IFERROR(__xludf.DUMMYFUNCTION("IF(OR(AND(C269&lt;&gt;"""", LEN(C269)&lt;3), LEN(C269)&gt;60, AND(D269&lt;&gt;"""", NOT(ISNUMBER(D269))), AND(ISNUMBER(D269), OR(D269&lt;0.01, D269&gt;999999999)), AND(COUNTA(D269:F269, H269:N269)&gt;0, C269=""""),                  
  AND(COUNTA(C269, H269:N269)&gt;0, D269=""""), LEN("&amp;"H269)&gt;50, AND(I269&lt;&gt;"""", NOT(ISNUMBER(I269))), AND(ISNUMBER(I269), OR(I269&lt;0, I269&gt;99998)), AND(L269&lt;&gt;"""", NOT(REGEXMATCH(L269&amp;"""", ""^\d{8,14}$"")))), ""Erro"", """")"),"")</f>
      </c>
    </row>
    <row r="270" ht="22.5" customHeight="true">
      <c r="A270" s="33"/>
      <c r="B270" s="34" t="str">
        <f t="shared" si="1"/>
      </c>
      <c r="C270" s="35"/>
      <c r="D270" s="36"/>
      <c r="E270" s="37"/>
      <c r="F270" s="38"/>
      <c r="G270" s="39" t="str">
        <f t="shared" si="2"/>
      </c>
      <c r="H270" s="40"/>
      <c r="I270" s="41"/>
      <c r="J270" s="41"/>
      <c r="K270" s="41"/>
      <c r="L270" s="42"/>
      <c r="M270" s="43"/>
      <c r="N270" s="44"/>
      <c r="O270" s="45"/>
      <c r="P270" s="46" t="str">
        <f>IFERROR(__xludf.DUMMYFUNCTION("IF(OR(AND(C270&lt;&gt;"""", LEN(C270)&lt;3), LEN(C270)&gt;60, AND(D270&lt;&gt;"""", NOT(ISNUMBER(D270))), AND(ISNUMBER(D270), OR(D270&lt;0.01, D270&gt;999999999)), AND(COUNTA(D270:F270, H270:N270)&gt;0, C270=""""),                  
  AND(COUNTA(C270, H270:N270)&gt;0, D270=""""), LEN("&amp;"H270)&gt;50, AND(I270&lt;&gt;"""", NOT(ISNUMBER(I270))), AND(ISNUMBER(I270), OR(I270&lt;0, I270&gt;99998)), AND(L270&lt;&gt;"""", NOT(REGEXMATCH(L270&amp;"""", ""^\d{8,14}$"")))), ""Erro"", """")"),"")</f>
      </c>
    </row>
    <row r="271" ht="22.5" customHeight="true">
      <c r="A271" s="33"/>
      <c r="B271" s="34" t="str">
        <f t="shared" si="1"/>
      </c>
      <c r="C271" s="35"/>
      <c r="D271" s="36"/>
      <c r="E271" s="37"/>
      <c r="F271" s="38"/>
      <c r="G271" s="39" t="str">
        <f t="shared" si="2"/>
      </c>
      <c r="H271" s="40"/>
      <c r="I271" s="41"/>
      <c r="J271" s="41"/>
      <c r="K271" s="41"/>
      <c r="L271" s="42"/>
      <c r="M271" s="43"/>
      <c r="N271" s="44"/>
      <c r="O271" s="45"/>
      <c r="P271" s="46" t="str">
        <f>IFERROR(__xludf.DUMMYFUNCTION("IF(OR(AND(C271&lt;&gt;"""", LEN(C271)&lt;3), LEN(C271)&gt;60, AND(D271&lt;&gt;"""", NOT(ISNUMBER(D271))), AND(ISNUMBER(D271), OR(D271&lt;0.01, D271&gt;999999999)), AND(COUNTA(D271:F271, H271:N271)&gt;0, C271=""""),                  
  AND(COUNTA(C271, H271:N271)&gt;0, D271=""""), LEN("&amp;"H271)&gt;50, AND(I271&lt;&gt;"""", NOT(ISNUMBER(I271))), AND(ISNUMBER(I271), OR(I271&lt;0, I271&gt;99998)), AND(L271&lt;&gt;"""", NOT(REGEXMATCH(L271&amp;"""", ""^\d{8,14}$"")))), ""Erro"", """")"),"")</f>
      </c>
    </row>
    <row r="272" ht="22.5" customHeight="true">
      <c r="A272" s="33"/>
      <c r="B272" s="34" t="str">
        <f t="shared" si="1"/>
      </c>
      <c r="C272" s="35"/>
      <c r="D272" s="36"/>
      <c r="E272" s="37"/>
      <c r="F272" s="38"/>
      <c r="G272" s="39" t="str">
        <f t="shared" si="2"/>
      </c>
      <c r="H272" s="40"/>
      <c r="I272" s="41"/>
      <c r="J272" s="41"/>
      <c r="K272" s="41"/>
      <c r="L272" s="42"/>
      <c r="M272" s="43"/>
      <c r="N272" s="44"/>
      <c r="O272" s="45"/>
      <c r="P272" s="46" t="str">
        <f>IFERROR(__xludf.DUMMYFUNCTION("IF(OR(AND(C272&lt;&gt;"""", LEN(C272)&lt;3), LEN(C272)&gt;60, AND(D272&lt;&gt;"""", NOT(ISNUMBER(D272))), AND(ISNUMBER(D272), OR(D272&lt;0.01, D272&gt;999999999)), AND(COUNTA(D272:F272, H272:N272)&gt;0, C272=""""),                  
  AND(COUNTA(C272, H272:N272)&gt;0, D272=""""), LEN("&amp;"H272)&gt;50, AND(I272&lt;&gt;"""", NOT(ISNUMBER(I272))), AND(ISNUMBER(I272), OR(I272&lt;0, I272&gt;99998)), AND(L272&lt;&gt;"""", NOT(REGEXMATCH(L272&amp;"""", ""^\d{8,14}$"")))), ""Erro"", """")"),"")</f>
      </c>
    </row>
    <row r="273" ht="22.5" customHeight="true">
      <c r="A273" s="33"/>
      <c r="B273" s="34" t="str">
        <f t="shared" si="1"/>
      </c>
      <c r="C273" s="35"/>
      <c r="D273" s="36"/>
      <c r="E273" s="37"/>
      <c r="F273" s="38"/>
      <c r="G273" s="39" t="str">
        <f t="shared" si="2"/>
      </c>
      <c r="H273" s="40"/>
      <c r="I273" s="41"/>
      <c r="J273" s="41"/>
      <c r="K273" s="41"/>
      <c r="L273" s="42"/>
      <c r="M273" s="43"/>
      <c r="N273" s="44"/>
      <c r="O273" s="45"/>
      <c r="P273" s="46" t="str">
        <f>IFERROR(__xludf.DUMMYFUNCTION("IF(OR(AND(C273&lt;&gt;"""", LEN(C273)&lt;3), LEN(C273)&gt;60, AND(D273&lt;&gt;"""", NOT(ISNUMBER(D273))), AND(ISNUMBER(D273), OR(D273&lt;0.01, D273&gt;999999999)), AND(COUNTA(D273:F273, H273:N273)&gt;0, C273=""""),                  
  AND(COUNTA(C273, H273:N273)&gt;0, D273=""""), LEN("&amp;"H273)&gt;50, AND(I273&lt;&gt;"""", NOT(ISNUMBER(I273))), AND(ISNUMBER(I273), OR(I273&lt;0, I273&gt;99998)), AND(L273&lt;&gt;"""", NOT(REGEXMATCH(L273&amp;"""", ""^\d{8,14}$"")))), ""Erro"", """")"),"")</f>
      </c>
    </row>
    <row r="274" ht="22.5" customHeight="true">
      <c r="A274" s="33"/>
      <c r="B274" s="34" t="str">
        <f t="shared" si="1"/>
      </c>
      <c r="C274" s="35"/>
      <c r="D274" s="36"/>
      <c r="E274" s="37"/>
      <c r="F274" s="38"/>
      <c r="G274" s="39" t="str">
        <f t="shared" si="2"/>
      </c>
      <c r="H274" s="40"/>
      <c r="I274" s="41"/>
      <c r="J274" s="41"/>
      <c r="K274" s="41"/>
      <c r="L274" s="42"/>
      <c r="M274" s="43"/>
      <c r="N274" s="44"/>
      <c r="O274" s="45"/>
      <c r="P274" s="46" t="str">
        <f>IFERROR(__xludf.DUMMYFUNCTION("IF(OR(AND(C274&lt;&gt;"""", LEN(C274)&lt;3), LEN(C274)&gt;60, AND(D274&lt;&gt;"""", NOT(ISNUMBER(D274))), AND(ISNUMBER(D274), OR(D274&lt;0.01, D274&gt;999999999)), AND(COUNTA(D274:F274, H274:N274)&gt;0, C274=""""),                  
  AND(COUNTA(C274, H274:N274)&gt;0, D274=""""), LEN("&amp;"H274)&gt;50, AND(I274&lt;&gt;"""", NOT(ISNUMBER(I274))), AND(ISNUMBER(I274), OR(I274&lt;0, I274&gt;99998)), AND(L274&lt;&gt;"""", NOT(REGEXMATCH(L274&amp;"""", ""^\d{8,14}$"")))), ""Erro"", """")"),"")</f>
      </c>
    </row>
    <row r="275" ht="22.5" customHeight="true">
      <c r="A275" s="33"/>
      <c r="B275" s="34" t="str">
        <f t="shared" si="1"/>
      </c>
      <c r="C275" s="35"/>
      <c r="D275" s="36"/>
      <c r="E275" s="37"/>
      <c r="F275" s="38"/>
      <c r="G275" s="39" t="str">
        <f t="shared" si="2"/>
      </c>
      <c r="H275" s="40"/>
      <c r="I275" s="41"/>
      <c r="J275" s="41"/>
      <c r="K275" s="41"/>
      <c r="L275" s="42"/>
      <c r="M275" s="43"/>
      <c r="N275" s="44"/>
      <c r="O275" s="45"/>
      <c r="P275" s="46" t="str">
        <f>IFERROR(__xludf.DUMMYFUNCTION("IF(OR(AND(C275&lt;&gt;"""", LEN(C275)&lt;3), LEN(C275)&gt;60, AND(D275&lt;&gt;"""", NOT(ISNUMBER(D275))), AND(ISNUMBER(D275), OR(D275&lt;0.01, D275&gt;999999999)), AND(COUNTA(D275:F275, H275:N275)&gt;0, C275=""""),                  
  AND(COUNTA(C275, H275:N275)&gt;0, D275=""""), LEN("&amp;"H275)&gt;50, AND(I275&lt;&gt;"""", NOT(ISNUMBER(I275))), AND(ISNUMBER(I275), OR(I275&lt;0, I275&gt;99998)), AND(L275&lt;&gt;"""", NOT(REGEXMATCH(L275&amp;"""", ""^\d{8,14}$"")))), ""Erro"", """")"),"")</f>
      </c>
    </row>
    <row r="276" ht="22.5" customHeight="true">
      <c r="A276" s="33"/>
      <c r="B276" s="34" t="str">
        <f t="shared" si="1"/>
      </c>
      <c r="C276" s="35"/>
      <c r="D276" s="36"/>
      <c r="E276" s="37"/>
      <c r="F276" s="38"/>
      <c r="G276" s="39" t="str">
        <f t="shared" si="2"/>
      </c>
      <c r="H276" s="40"/>
      <c r="I276" s="41"/>
      <c r="J276" s="41"/>
      <c r="K276" s="41"/>
      <c r="L276" s="42"/>
      <c r="M276" s="43"/>
      <c r="N276" s="44"/>
      <c r="O276" s="45"/>
      <c r="P276" s="46" t="str">
        <f>IFERROR(__xludf.DUMMYFUNCTION("IF(OR(AND(C276&lt;&gt;"""", LEN(C276)&lt;3), LEN(C276)&gt;60, AND(D276&lt;&gt;"""", NOT(ISNUMBER(D276))), AND(ISNUMBER(D276), OR(D276&lt;0.01, D276&gt;999999999)), AND(COUNTA(D276:F276, H276:N276)&gt;0, C276=""""),                  
  AND(COUNTA(C276, H276:N276)&gt;0, D276=""""), LEN("&amp;"H276)&gt;50, AND(I276&lt;&gt;"""", NOT(ISNUMBER(I276))), AND(ISNUMBER(I276), OR(I276&lt;0, I276&gt;99998)), AND(L276&lt;&gt;"""", NOT(REGEXMATCH(L276&amp;"""", ""^\d{8,14}$"")))), ""Erro"", """")"),"")</f>
      </c>
    </row>
    <row r="277" ht="22.5" customHeight="true">
      <c r="A277" s="33"/>
      <c r="B277" s="34" t="str">
        <f t="shared" si="1"/>
      </c>
      <c r="C277" s="35"/>
      <c r="D277" s="36"/>
      <c r="E277" s="37"/>
      <c r="F277" s="38"/>
      <c r="G277" s="39" t="str">
        <f t="shared" si="2"/>
      </c>
      <c r="H277" s="40"/>
      <c r="I277" s="41"/>
      <c r="J277" s="41"/>
      <c r="K277" s="41"/>
      <c r="L277" s="42"/>
      <c r="M277" s="43"/>
      <c r="N277" s="44"/>
      <c r="O277" s="45"/>
      <c r="P277" s="46" t="str">
        <f>IFERROR(__xludf.DUMMYFUNCTION("IF(OR(AND(C277&lt;&gt;"""", LEN(C277)&lt;3), LEN(C277)&gt;60, AND(D277&lt;&gt;"""", NOT(ISNUMBER(D277))), AND(ISNUMBER(D277), OR(D277&lt;0.01, D277&gt;999999999)), AND(COUNTA(D277:F277, H277:N277)&gt;0, C277=""""),                  
  AND(COUNTA(C277, H277:N277)&gt;0, D277=""""), LEN("&amp;"H277)&gt;50, AND(I277&lt;&gt;"""", NOT(ISNUMBER(I277))), AND(ISNUMBER(I277), OR(I277&lt;0, I277&gt;99998)), AND(L277&lt;&gt;"""", NOT(REGEXMATCH(L277&amp;"""", ""^\d{8,14}$"")))), ""Erro"", """")"),"")</f>
      </c>
    </row>
    <row r="278" ht="22.5" customHeight="true">
      <c r="A278" s="33"/>
      <c r="B278" s="34" t="str">
        <f t="shared" si="1"/>
      </c>
      <c r="C278" s="35"/>
      <c r="D278" s="36"/>
      <c r="E278" s="37"/>
      <c r="F278" s="38"/>
      <c r="G278" s="39" t="str">
        <f t="shared" si="2"/>
      </c>
      <c r="H278" s="40"/>
      <c r="I278" s="41"/>
      <c r="J278" s="41"/>
      <c r="K278" s="41"/>
      <c r="L278" s="42"/>
      <c r="M278" s="43"/>
      <c r="N278" s="44"/>
      <c r="O278" s="45"/>
      <c r="P278" s="46" t="str">
        <f>IFERROR(__xludf.DUMMYFUNCTION("IF(OR(AND(C278&lt;&gt;"""", LEN(C278)&lt;3), LEN(C278)&gt;60, AND(D278&lt;&gt;"""", NOT(ISNUMBER(D278))), AND(ISNUMBER(D278), OR(D278&lt;0.01, D278&gt;999999999)), AND(COUNTA(D278:F278, H278:N278)&gt;0, C278=""""),                  
  AND(COUNTA(C278, H278:N278)&gt;0, D278=""""), LEN("&amp;"H278)&gt;50, AND(I278&lt;&gt;"""", NOT(ISNUMBER(I278))), AND(ISNUMBER(I278), OR(I278&lt;0, I278&gt;99998)), AND(L278&lt;&gt;"""", NOT(REGEXMATCH(L278&amp;"""", ""^\d{8,14}$"")))), ""Erro"", """")"),"")</f>
      </c>
    </row>
    <row r="279" ht="22.5" customHeight="true">
      <c r="A279" s="33"/>
      <c r="B279" s="34" t="str">
        <f t="shared" si="1"/>
      </c>
      <c r="C279" s="35"/>
      <c r="D279" s="36"/>
      <c r="E279" s="37"/>
      <c r="F279" s="38"/>
      <c r="G279" s="39" t="str">
        <f t="shared" si="2"/>
      </c>
      <c r="H279" s="40"/>
      <c r="I279" s="41"/>
      <c r="J279" s="41"/>
      <c r="K279" s="41"/>
      <c r="L279" s="42"/>
      <c r="M279" s="43"/>
      <c r="N279" s="44"/>
      <c r="O279" s="45"/>
      <c r="P279" s="46" t="str">
        <f>IFERROR(__xludf.DUMMYFUNCTION("IF(OR(AND(C279&lt;&gt;"""", LEN(C279)&lt;3), LEN(C279)&gt;60, AND(D279&lt;&gt;"""", NOT(ISNUMBER(D279))), AND(ISNUMBER(D279), OR(D279&lt;0.01, D279&gt;999999999)), AND(COUNTA(D279:F279, H279:N279)&gt;0, C279=""""),                  
  AND(COUNTA(C279, H279:N279)&gt;0, D279=""""), LEN("&amp;"H279)&gt;50, AND(I279&lt;&gt;"""", NOT(ISNUMBER(I279))), AND(ISNUMBER(I279), OR(I279&lt;0, I279&gt;99998)), AND(L279&lt;&gt;"""", NOT(REGEXMATCH(L279&amp;"""", ""^\d{8,14}$"")))), ""Erro"", """")"),"")</f>
      </c>
    </row>
    <row r="280" ht="22.5" customHeight="true">
      <c r="A280" s="33"/>
      <c r="B280" s="34" t="str">
        <f t="shared" si="1"/>
      </c>
      <c r="C280" s="35"/>
      <c r="D280" s="36"/>
      <c r="E280" s="37"/>
      <c r="F280" s="38"/>
      <c r="G280" s="39" t="str">
        <f t="shared" si="2"/>
      </c>
      <c r="H280" s="40"/>
      <c r="I280" s="41"/>
      <c r="J280" s="41"/>
      <c r="K280" s="41"/>
      <c r="L280" s="42"/>
      <c r="M280" s="43"/>
      <c r="N280" s="44"/>
      <c r="O280" s="45"/>
      <c r="P280" s="46" t="str">
        <f>IFERROR(__xludf.DUMMYFUNCTION("IF(OR(AND(C280&lt;&gt;"""", LEN(C280)&lt;3), LEN(C280)&gt;60, AND(D280&lt;&gt;"""", NOT(ISNUMBER(D280))), AND(ISNUMBER(D280), OR(D280&lt;0.01, D280&gt;999999999)), AND(COUNTA(D280:F280, H280:N280)&gt;0, C280=""""),                  
  AND(COUNTA(C280, H280:N280)&gt;0, D280=""""), LEN("&amp;"H280)&gt;50, AND(I280&lt;&gt;"""", NOT(ISNUMBER(I280))), AND(ISNUMBER(I280), OR(I280&lt;0, I280&gt;99998)), AND(L280&lt;&gt;"""", NOT(REGEXMATCH(L280&amp;"""", ""^\d{8,14}$"")))), ""Erro"", """")"),"")</f>
      </c>
    </row>
    <row r="281" ht="22.5" customHeight="true">
      <c r="A281" s="33"/>
      <c r="B281" s="34" t="str">
        <f t="shared" si="1"/>
      </c>
      <c r="C281" s="35"/>
      <c r="D281" s="36"/>
      <c r="E281" s="37"/>
      <c r="F281" s="38"/>
      <c r="G281" s="39" t="str">
        <f t="shared" si="2"/>
      </c>
      <c r="H281" s="40"/>
      <c r="I281" s="41"/>
      <c r="J281" s="41"/>
      <c r="K281" s="41"/>
      <c r="L281" s="42"/>
      <c r="M281" s="43"/>
      <c r="N281" s="44"/>
      <c r="O281" s="45"/>
      <c r="P281" s="46" t="str">
        <f>IFERROR(__xludf.DUMMYFUNCTION("IF(OR(AND(C281&lt;&gt;"""", LEN(C281)&lt;3), LEN(C281)&gt;60, AND(D281&lt;&gt;"""", NOT(ISNUMBER(D281))), AND(ISNUMBER(D281), OR(D281&lt;0.01, D281&gt;999999999)), AND(COUNTA(D281:F281, H281:N281)&gt;0, C281=""""),                  
  AND(COUNTA(C281, H281:N281)&gt;0, D281=""""), LEN("&amp;"H281)&gt;50, AND(I281&lt;&gt;"""", NOT(ISNUMBER(I281))), AND(ISNUMBER(I281), OR(I281&lt;0, I281&gt;99998)), AND(L281&lt;&gt;"""", NOT(REGEXMATCH(L281&amp;"""", ""^\d{8,14}$"")))), ""Erro"", """")"),"")</f>
      </c>
    </row>
    <row r="282" ht="22.5" customHeight="true">
      <c r="A282" s="33"/>
      <c r="B282" s="34" t="str">
        <f t="shared" si="1"/>
      </c>
      <c r="C282" s="35"/>
      <c r="D282" s="36"/>
      <c r="E282" s="37"/>
      <c r="F282" s="38"/>
      <c r="G282" s="39" t="str">
        <f t="shared" si="2"/>
      </c>
      <c r="H282" s="40"/>
      <c r="I282" s="41"/>
      <c r="J282" s="41"/>
      <c r="K282" s="41"/>
      <c r="L282" s="42"/>
      <c r="M282" s="43"/>
      <c r="N282" s="44"/>
      <c r="O282" s="45"/>
      <c r="P282" s="46" t="str">
        <f>IFERROR(__xludf.DUMMYFUNCTION("IF(OR(AND(C282&lt;&gt;"""", LEN(C282)&lt;3), LEN(C282)&gt;60, AND(D282&lt;&gt;"""", NOT(ISNUMBER(D282))), AND(ISNUMBER(D282), OR(D282&lt;0.01, D282&gt;999999999)), AND(COUNTA(D282:F282, H282:N282)&gt;0, C282=""""),                  
  AND(COUNTA(C282, H282:N282)&gt;0, D282=""""), LEN("&amp;"H282)&gt;50, AND(I282&lt;&gt;"""", NOT(ISNUMBER(I282))), AND(ISNUMBER(I282), OR(I282&lt;0, I282&gt;99998)), AND(L282&lt;&gt;"""", NOT(REGEXMATCH(L282&amp;"""", ""^\d{8,14}$"")))), ""Erro"", """")"),"")</f>
      </c>
    </row>
    <row r="283" ht="22.5" customHeight="true">
      <c r="A283" s="33"/>
      <c r="B283" s="34" t="str">
        <f t="shared" si="1"/>
      </c>
      <c r="C283" s="35"/>
      <c r="D283" s="36"/>
      <c r="E283" s="37"/>
      <c r="F283" s="38"/>
      <c r="G283" s="39" t="str">
        <f t="shared" si="2"/>
      </c>
      <c r="H283" s="40"/>
      <c r="I283" s="41"/>
      <c r="J283" s="41"/>
      <c r="K283" s="41"/>
      <c r="L283" s="42"/>
      <c r="M283" s="43"/>
      <c r="N283" s="44"/>
      <c r="O283" s="45"/>
      <c r="P283" s="46" t="str">
        <f>IFERROR(__xludf.DUMMYFUNCTION("IF(OR(AND(C283&lt;&gt;"""", LEN(C283)&lt;3), LEN(C283)&gt;60, AND(D283&lt;&gt;"""", NOT(ISNUMBER(D283))), AND(ISNUMBER(D283), OR(D283&lt;0.01, D283&gt;999999999)), AND(COUNTA(D283:F283, H283:N283)&gt;0, C283=""""),                  
  AND(COUNTA(C283, H283:N283)&gt;0, D283=""""), LEN("&amp;"H283)&gt;50, AND(I283&lt;&gt;"""", NOT(ISNUMBER(I283))), AND(ISNUMBER(I283), OR(I283&lt;0, I283&gt;99998)), AND(L283&lt;&gt;"""", NOT(REGEXMATCH(L283&amp;"""", ""^\d{8,14}$"")))), ""Erro"", """")"),"")</f>
      </c>
    </row>
    <row r="284" ht="22.5" customHeight="true">
      <c r="A284" s="33"/>
      <c r="B284" s="34" t="str">
        <f t="shared" si="1"/>
      </c>
      <c r="C284" s="35"/>
      <c r="D284" s="36"/>
      <c r="E284" s="37"/>
      <c r="F284" s="38"/>
      <c r="G284" s="39" t="str">
        <f t="shared" si="2"/>
      </c>
      <c r="H284" s="40"/>
      <c r="I284" s="41"/>
      <c r="J284" s="41"/>
      <c r="K284" s="41"/>
      <c r="L284" s="42"/>
      <c r="M284" s="43"/>
      <c r="N284" s="44"/>
      <c r="O284" s="45"/>
      <c r="P284" s="46" t="str">
        <f>IFERROR(__xludf.DUMMYFUNCTION("IF(OR(AND(C284&lt;&gt;"""", LEN(C284)&lt;3), LEN(C284)&gt;60, AND(D284&lt;&gt;"""", NOT(ISNUMBER(D284))), AND(ISNUMBER(D284), OR(D284&lt;0.01, D284&gt;999999999)), AND(COUNTA(D284:F284, H284:N284)&gt;0, C284=""""),                  
  AND(COUNTA(C284, H284:N284)&gt;0, D284=""""), LEN("&amp;"H284)&gt;50, AND(I284&lt;&gt;"""", NOT(ISNUMBER(I284))), AND(ISNUMBER(I284), OR(I284&lt;0, I284&gt;99998)), AND(L284&lt;&gt;"""", NOT(REGEXMATCH(L284&amp;"""", ""^\d{8,14}$"")))), ""Erro"", """")"),"")</f>
      </c>
    </row>
    <row r="285" ht="22.5" customHeight="true">
      <c r="A285" s="33"/>
      <c r="B285" s="34" t="str">
        <f t="shared" si="1"/>
      </c>
      <c r="C285" s="35"/>
      <c r="D285" s="36"/>
      <c r="E285" s="37"/>
      <c r="F285" s="38"/>
      <c r="G285" s="39" t="str">
        <f t="shared" si="2"/>
      </c>
      <c r="H285" s="40"/>
      <c r="I285" s="41"/>
      <c r="J285" s="41"/>
      <c r="K285" s="41"/>
      <c r="L285" s="42"/>
      <c r="M285" s="43"/>
      <c r="N285" s="44"/>
      <c r="O285" s="45"/>
      <c r="P285" s="46" t="str">
        <f>IFERROR(__xludf.DUMMYFUNCTION("IF(OR(AND(C285&lt;&gt;"""", LEN(C285)&lt;3), LEN(C285)&gt;60, AND(D285&lt;&gt;"""", NOT(ISNUMBER(D285))), AND(ISNUMBER(D285), OR(D285&lt;0.01, D285&gt;999999999)), AND(COUNTA(D285:F285, H285:N285)&gt;0, C285=""""),                  
  AND(COUNTA(C285, H285:N285)&gt;0, D285=""""), LEN("&amp;"H285)&gt;50, AND(I285&lt;&gt;"""", NOT(ISNUMBER(I285))), AND(ISNUMBER(I285), OR(I285&lt;0, I285&gt;99998)), AND(L285&lt;&gt;"""", NOT(REGEXMATCH(L285&amp;"""", ""^\d{8,14}$"")))), ""Erro"", """")"),"")</f>
      </c>
    </row>
    <row r="286" ht="22.5" customHeight="true">
      <c r="A286" s="33"/>
      <c r="B286" s="34" t="str">
        <f t="shared" si="1"/>
      </c>
      <c r="C286" s="35"/>
      <c r="D286" s="36"/>
      <c r="E286" s="37"/>
      <c r="F286" s="38"/>
      <c r="G286" s="39" t="str">
        <f t="shared" si="2"/>
      </c>
      <c r="H286" s="40"/>
      <c r="I286" s="41"/>
      <c r="J286" s="41"/>
      <c r="K286" s="41"/>
      <c r="L286" s="42"/>
      <c r="M286" s="43"/>
      <c r="N286" s="44"/>
      <c r="O286" s="45"/>
      <c r="P286" s="46" t="str">
        <f>IFERROR(__xludf.DUMMYFUNCTION("IF(OR(AND(C286&lt;&gt;"""", LEN(C286)&lt;3), LEN(C286)&gt;60, AND(D286&lt;&gt;"""", NOT(ISNUMBER(D286))), AND(ISNUMBER(D286), OR(D286&lt;0.01, D286&gt;999999999)), AND(COUNTA(D286:F286, H286:N286)&gt;0, C286=""""),                  
  AND(COUNTA(C286, H286:N286)&gt;0, D286=""""), LEN("&amp;"H286)&gt;50, AND(I286&lt;&gt;"""", NOT(ISNUMBER(I286))), AND(ISNUMBER(I286), OR(I286&lt;0, I286&gt;99998)), AND(L286&lt;&gt;"""", NOT(REGEXMATCH(L286&amp;"""", ""^\d{8,14}$"")))), ""Erro"", """")"),"")</f>
      </c>
    </row>
    <row r="287" ht="22.5" customHeight="true">
      <c r="A287" s="33"/>
      <c r="B287" s="34" t="str">
        <f t="shared" si="1"/>
      </c>
      <c r="C287" s="35"/>
      <c r="D287" s="36"/>
      <c r="E287" s="37"/>
      <c r="F287" s="38"/>
      <c r="G287" s="39" t="str">
        <f t="shared" si="2"/>
      </c>
      <c r="H287" s="40"/>
      <c r="I287" s="41"/>
      <c r="J287" s="41"/>
      <c r="K287" s="41"/>
      <c r="L287" s="42"/>
      <c r="M287" s="43"/>
      <c r="N287" s="44"/>
      <c r="O287" s="45"/>
      <c r="P287" s="46" t="str">
        <f>IFERROR(__xludf.DUMMYFUNCTION("IF(OR(AND(C287&lt;&gt;"""", LEN(C287)&lt;3), LEN(C287)&gt;60, AND(D287&lt;&gt;"""", NOT(ISNUMBER(D287))), AND(ISNUMBER(D287), OR(D287&lt;0.01, D287&gt;999999999)), AND(COUNTA(D287:F287, H287:N287)&gt;0, C287=""""),                  
  AND(COUNTA(C287, H287:N287)&gt;0, D287=""""), LEN("&amp;"H287)&gt;50, AND(I287&lt;&gt;"""", NOT(ISNUMBER(I287))), AND(ISNUMBER(I287), OR(I287&lt;0, I287&gt;99998)), AND(L287&lt;&gt;"""", NOT(REGEXMATCH(L287&amp;"""", ""^\d{8,14}$"")))), ""Erro"", """")"),"")</f>
      </c>
    </row>
    <row r="288" ht="22.5" customHeight="true">
      <c r="A288" s="33"/>
      <c r="B288" s="34" t="str">
        <f t="shared" si="1"/>
      </c>
      <c r="C288" s="35"/>
      <c r="D288" s="36"/>
      <c r="E288" s="37"/>
      <c r="F288" s="38"/>
      <c r="G288" s="39" t="str">
        <f t="shared" si="2"/>
      </c>
      <c r="H288" s="40"/>
      <c r="I288" s="41"/>
      <c r="J288" s="41"/>
      <c r="K288" s="41"/>
      <c r="L288" s="42"/>
      <c r="M288" s="43"/>
      <c r="N288" s="44"/>
      <c r="O288" s="45"/>
      <c r="P288" s="46" t="str">
        <f>IFERROR(__xludf.DUMMYFUNCTION("IF(OR(AND(C288&lt;&gt;"""", LEN(C288)&lt;3), LEN(C288)&gt;60, AND(D288&lt;&gt;"""", NOT(ISNUMBER(D288))), AND(ISNUMBER(D288), OR(D288&lt;0.01, D288&gt;999999999)), AND(COUNTA(D288:F288, H288:N288)&gt;0, C288=""""),                  
  AND(COUNTA(C288, H288:N288)&gt;0, D288=""""), LEN("&amp;"H288)&gt;50, AND(I288&lt;&gt;"""", NOT(ISNUMBER(I288))), AND(ISNUMBER(I288), OR(I288&lt;0, I288&gt;99998)), AND(L288&lt;&gt;"""", NOT(REGEXMATCH(L288&amp;"""", ""^\d{8,14}$"")))), ""Erro"", """")"),"")</f>
      </c>
    </row>
    <row r="289" ht="22.5" customHeight="true">
      <c r="A289" s="33"/>
      <c r="B289" s="34" t="str">
        <f t="shared" si="1"/>
      </c>
      <c r="C289" s="35"/>
      <c r="D289" s="36"/>
      <c r="E289" s="37"/>
      <c r="F289" s="38"/>
      <c r="G289" s="39" t="str">
        <f t="shared" si="2"/>
      </c>
      <c r="H289" s="40"/>
      <c r="I289" s="41"/>
      <c r="J289" s="41"/>
      <c r="K289" s="41"/>
      <c r="L289" s="42"/>
      <c r="M289" s="43"/>
      <c r="N289" s="44"/>
      <c r="O289" s="45"/>
      <c r="P289" s="46" t="str">
        <f>IFERROR(__xludf.DUMMYFUNCTION("IF(OR(AND(C289&lt;&gt;"""", LEN(C289)&lt;3), LEN(C289)&gt;60, AND(D289&lt;&gt;"""", NOT(ISNUMBER(D289))), AND(ISNUMBER(D289), OR(D289&lt;0.01, D289&gt;999999999)), AND(COUNTA(D289:F289, H289:N289)&gt;0, C289=""""),                  
  AND(COUNTA(C289, H289:N289)&gt;0, D289=""""), LEN("&amp;"H289)&gt;50, AND(I289&lt;&gt;"""", NOT(ISNUMBER(I289))), AND(ISNUMBER(I289), OR(I289&lt;0, I289&gt;99998)), AND(L289&lt;&gt;"""", NOT(REGEXMATCH(L289&amp;"""", ""^\d{8,14}$"")))), ""Erro"", """")"),"")</f>
      </c>
    </row>
    <row r="290" ht="22.5" customHeight="true">
      <c r="A290" s="33"/>
      <c r="B290" s="34" t="str">
        <f t="shared" si="1"/>
      </c>
      <c r="C290" s="35"/>
      <c r="D290" s="36"/>
      <c r="E290" s="37"/>
      <c r="F290" s="38"/>
      <c r="G290" s="39" t="str">
        <f t="shared" si="2"/>
      </c>
      <c r="H290" s="40"/>
      <c r="I290" s="41"/>
      <c r="J290" s="41"/>
      <c r="K290" s="41"/>
      <c r="L290" s="42"/>
      <c r="M290" s="43"/>
      <c r="N290" s="44"/>
      <c r="O290" s="45"/>
      <c r="P290" s="46" t="str">
        <f>IFERROR(__xludf.DUMMYFUNCTION("IF(OR(AND(C290&lt;&gt;"""", LEN(C290)&lt;3), LEN(C290)&gt;60, AND(D290&lt;&gt;"""", NOT(ISNUMBER(D290))), AND(ISNUMBER(D290), OR(D290&lt;0.01, D290&gt;999999999)), AND(COUNTA(D290:F290, H290:N290)&gt;0, C290=""""),                  
  AND(COUNTA(C290, H290:N290)&gt;0, D290=""""), LEN("&amp;"H290)&gt;50, AND(I290&lt;&gt;"""", NOT(ISNUMBER(I290))), AND(ISNUMBER(I290), OR(I290&lt;0, I290&gt;99998)), AND(L290&lt;&gt;"""", NOT(REGEXMATCH(L290&amp;"""", ""^\d{8,14}$"")))), ""Erro"", """")"),"")</f>
      </c>
    </row>
    <row r="291" ht="22.5" customHeight="true">
      <c r="A291" s="33"/>
      <c r="B291" s="34" t="str">
        <f t="shared" si="1"/>
      </c>
      <c r="C291" s="35"/>
      <c r="D291" s="36"/>
      <c r="E291" s="37"/>
      <c r="F291" s="38"/>
      <c r="G291" s="39" t="str">
        <f t="shared" si="2"/>
      </c>
      <c r="H291" s="40"/>
      <c r="I291" s="41"/>
      <c r="J291" s="41"/>
      <c r="K291" s="41"/>
      <c r="L291" s="42"/>
      <c r="M291" s="43"/>
      <c r="N291" s="44"/>
      <c r="O291" s="45"/>
      <c r="P291" s="46" t="str">
        <f>IFERROR(__xludf.DUMMYFUNCTION("IF(OR(AND(C291&lt;&gt;"""", LEN(C291)&lt;3), LEN(C291)&gt;60, AND(D291&lt;&gt;"""", NOT(ISNUMBER(D291))), AND(ISNUMBER(D291), OR(D291&lt;0.01, D291&gt;999999999)), AND(COUNTA(D291:F291, H291:N291)&gt;0, C291=""""),                  
  AND(COUNTA(C291, H291:N291)&gt;0, D291=""""), LEN("&amp;"H291)&gt;50, AND(I291&lt;&gt;"""", NOT(ISNUMBER(I291))), AND(ISNUMBER(I291), OR(I291&lt;0, I291&gt;99998)), AND(L291&lt;&gt;"""", NOT(REGEXMATCH(L291&amp;"""", ""^\d{8,14}$"")))), ""Erro"", """")"),"")</f>
      </c>
    </row>
    <row r="292" ht="22.5" customHeight="true">
      <c r="A292" s="33"/>
      <c r="B292" s="34" t="str">
        <f t="shared" si="1"/>
      </c>
      <c r="C292" s="35"/>
      <c r="D292" s="36"/>
      <c r="E292" s="37"/>
      <c r="F292" s="38"/>
      <c r="G292" s="39" t="str">
        <f t="shared" si="2"/>
      </c>
      <c r="H292" s="40"/>
      <c r="I292" s="41"/>
      <c r="J292" s="41"/>
      <c r="K292" s="41"/>
      <c r="L292" s="42"/>
      <c r="M292" s="43"/>
      <c r="N292" s="44"/>
      <c r="O292" s="45"/>
      <c r="P292" s="46" t="str">
        <f>IFERROR(__xludf.DUMMYFUNCTION("IF(OR(AND(C292&lt;&gt;"""", LEN(C292)&lt;3), LEN(C292)&gt;60, AND(D292&lt;&gt;"""", NOT(ISNUMBER(D292))), AND(ISNUMBER(D292), OR(D292&lt;0.01, D292&gt;999999999)), AND(COUNTA(D292:F292, H292:N292)&gt;0, C292=""""),                  
  AND(COUNTA(C292, H292:N292)&gt;0, D292=""""), LEN("&amp;"H292)&gt;50, AND(I292&lt;&gt;"""", NOT(ISNUMBER(I292))), AND(ISNUMBER(I292), OR(I292&lt;0, I292&gt;99998)), AND(L292&lt;&gt;"""", NOT(REGEXMATCH(L292&amp;"""", ""^\d{8,14}$"")))), ""Erro"", """")"),"")</f>
      </c>
    </row>
    <row r="293" ht="22.5" customHeight="true">
      <c r="A293" s="33"/>
      <c r="B293" s="34" t="str">
        <f t="shared" si="1"/>
      </c>
      <c r="C293" s="35"/>
      <c r="D293" s="36"/>
      <c r="E293" s="37"/>
      <c r="F293" s="38"/>
      <c r="G293" s="39" t="str">
        <f t="shared" si="2"/>
      </c>
      <c r="H293" s="40"/>
      <c r="I293" s="41"/>
      <c r="J293" s="41"/>
      <c r="K293" s="41"/>
      <c r="L293" s="42"/>
      <c r="M293" s="43"/>
      <c r="N293" s="44"/>
      <c r="O293" s="45"/>
      <c r="P293" s="46" t="str">
        <f>IFERROR(__xludf.DUMMYFUNCTION("IF(OR(AND(C293&lt;&gt;"""", LEN(C293)&lt;3), LEN(C293)&gt;60, AND(D293&lt;&gt;"""", NOT(ISNUMBER(D293))), AND(ISNUMBER(D293), OR(D293&lt;0.01, D293&gt;999999999)), AND(COUNTA(D293:F293, H293:N293)&gt;0, C293=""""),                  
  AND(COUNTA(C293, H293:N293)&gt;0, D293=""""), LEN("&amp;"H293)&gt;50, AND(I293&lt;&gt;"""", NOT(ISNUMBER(I293))), AND(ISNUMBER(I293), OR(I293&lt;0, I293&gt;99998)), AND(L293&lt;&gt;"""", NOT(REGEXMATCH(L293&amp;"""", ""^\d{8,14}$"")))), ""Erro"", """")"),"")</f>
      </c>
    </row>
    <row r="294" ht="22.5" customHeight="true">
      <c r="A294" s="33"/>
      <c r="B294" s="34" t="str">
        <f t="shared" si="1"/>
      </c>
      <c r="C294" s="35"/>
      <c r="D294" s="36"/>
      <c r="E294" s="37"/>
      <c r="F294" s="38"/>
      <c r="G294" s="39" t="str">
        <f t="shared" si="2"/>
      </c>
      <c r="H294" s="40"/>
      <c r="I294" s="41"/>
      <c r="J294" s="41"/>
      <c r="K294" s="41"/>
      <c r="L294" s="42"/>
      <c r="M294" s="43"/>
      <c r="N294" s="44"/>
      <c r="O294" s="45"/>
      <c r="P294" s="46" t="str">
        <f>IFERROR(__xludf.DUMMYFUNCTION("IF(OR(AND(C294&lt;&gt;"""", LEN(C294)&lt;3), LEN(C294)&gt;60, AND(D294&lt;&gt;"""", NOT(ISNUMBER(D294))), AND(ISNUMBER(D294), OR(D294&lt;0.01, D294&gt;999999999)), AND(COUNTA(D294:F294, H294:N294)&gt;0, C294=""""),                  
  AND(COUNTA(C294, H294:N294)&gt;0, D294=""""), LEN("&amp;"H294)&gt;50, AND(I294&lt;&gt;"""", NOT(ISNUMBER(I294))), AND(ISNUMBER(I294), OR(I294&lt;0, I294&gt;99998)), AND(L294&lt;&gt;"""", NOT(REGEXMATCH(L294&amp;"""", ""^\d{8,14}$"")))), ""Erro"", """")"),"")</f>
      </c>
    </row>
    <row r="295" ht="22.5" customHeight="true">
      <c r="A295" s="33"/>
      <c r="B295" s="34" t="str">
        <f t="shared" si="1"/>
      </c>
      <c r="C295" s="35"/>
      <c r="D295" s="36"/>
      <c r="E295" s="37"/>
      <c r="F295" s="38"/>
      <c r="G295" s="39" t="str">
        <f t="shared" si="2"/>
      </c>
      <c r="H295" s="40"/>
      <c r="I295" s="41"/>
      <c r="J295" s="41"/>
      <c r="K295" s="41"/>
      <c r="L295" s="42"/>
      <c r="M295" s="43"/>
      <c r="N295" s="44"/>
      <c r="O295" s="45"/>
      <c r="P295" s="46" t="str">
        <f>IFERROR(__xludf.DUMMYFUNCTION("IF(OR(AND(C295&lt;&gt;"""", LEN(C295)&lt;3), LEN(C295)&gt;60, AND(D295&lt;&gt;"""", NOT(ISNUMBER(D295))), AND(ISNUMBER(D295), OR(D295&lt;0.01, D295&gt;999999999)), AND(COUNTA(D295:F295, H295:N295)&gt;0, C295=""""),                  
  AND(COUNTA(C295, H295:N295)&gt;0, D295=""""), LEN("&amp;"H295)&gt;50, AND(I295&lt;&gt;"""", NOT(ISNUMBER(I295))), AND(ISNUMBER(I295), OR(I295&lt;0, I295&gt;99998)), AND(L295&lt;&gt;"""", NOT(REGEXMATCH(L295&amp;"""", ""^\d{8,14}$"")))), ""Erro"", """")"),"")</f>
      </c>
    </row>
    <row r="296" ht="22.5" customHeight="true">
      <c r="A296" s="33"/>
      <c r="B296" s="34" t="str">
        <f t="shared" si="1"/>
      </c>
      <c r="C296" s="35"/>
      <c r="D296" s="36"/>
      <c r="E296" s="37"/>
      <c r="F296" s="38"/>
      <c r="G296" s="39" t="str">
        <f t="shared" si="2"/>
      </c>
      <c r="H296" s="40"/>
      <c r="I296" s="41"/>
      <c r="J296" s="41"/>
      <c r="K296" s="41"/>
      <c r="L296" s="42"/>
      <c r="M296" s="43"/>
      <c r="N296" s="44"/>
      <c r="O296" s="45"/>
      <c r="P296" s="46" t="str">
        <f>IFERROR(__xludf.DUMMYFUNCTION("IF(OR(AND(C296&lt;&gt;"""", LEN(C296)&lt;3), LEN(C296)&gt;60, AND(D296&lt;&gt;"""", NOT(ISNUMBER(D296))), AND(ISNUMBER(D296), OR(D296&lt;0.01, D296&gt;999999999)), AND(COUNTA(D296:F296, H296:N296)&gt;0, C296=""""),                  
  AND(COUNTA(C296, H296:N296)&gt;0, D296=""""), LEN("&amp;"H296)&gt;50, AND(I296&lt;&gt;"""", NOT(ISNUMBER(I296))), AND(ISNUMBER(I296), OR(I296&lt;0, I296&gt;99998)), AND(L296&lt;&gt;"""", NOT(REGEXMATCH(L296&amp;"""", ""^\d{8,14}$"")))), ""Erro"", """")"),"")</f>
      </c>
    </row>
    <row r="297" ht="22.5" customHeight="true">
      <c r="A297" s="33"/>
      <c r="B297" s="34" t="str">
        <f t="shared" si="1"/>
      </c>
      <c r="C297" s="35"/>
      <c r="D297" s="36"/>
      <c r="E297" s="37"/>
      <c r="F297" s="38"/>
      <c r="G297" s="39" t="str">
        <f t="shared" si="2"/>
      </c>
      <c r="H297" s="40"/>
      <c r="I297" s="41"/>
      <c r="J297" s="41"/>
      <c r="K297" s="41"/>
      <c r="L297" s="42"/>
      <c r="M297" s="43"/>
      <c r="N297" s="44"/>
      <c r="O297" s="45"/>
      <c r="P297" s="46" t="str">
        <f>IFERROR(__xludf.DUMMYFUNCTION("IF(OR(AND(C297&lt;&gt;"""", LEN(C297)&lt;3), LEN(C297)&gt;60, AND(D297&lt;&gt;"""", NOT(ISNUMBER(D297))), AND(ISNUMBER(D297), OR(D297&lt;0.01, D297&gt;999999999)), AND(COUNTA(D297:F297, H297:N297)&gt;0, C297=""""),                  
  AND(COUNTA(C297, H297:N297)&gt;0, D297=""""), LEN("&amp;"H297)&gt;50, AND(I297&lt;&gt;"""", NOT(ISNUMBER(I297))), AND(ISNUMBER(I297), OR(I297&lt;0, I297&gt;99998)), AND(L297&lt;&gt;"""", NOT(REGEXMATCH(L297&amp;"""", ""^\d{8,14}$"")))), ""Erro"", """")"),"")</f>
      </c>
    </row>
    <row r="298" ht="22.5" customHeight="true">
      <c r="A298" s="33"/>
      <c r="B298" s="34" t="str">
        <f t="shared" si="1"/>
      </c>
      <c r="C298" s="35"/>
      <c r="D298" s="36"/>
      <c r="E298" s="37"/>
      <c r="F298" s="38"/>
      <c r="G298" s="39" t="str">
        <f t="shared" si="2"/>
      </c>
      <c r="H298" s="40"/>
      <c r="I298" s="41"/>
      <c r="J298" s="41"/>
      <c r="K298" s="41"/>
      <c r="L298" s="42"/>
      <c r="M298" s="43"/>
      <c r="N298" s="44"/>
      <c r="O298" s="45"/>
      <c r="P298" s="46" t="str">
        <f>IFERROR(__xludf.DUMMYFUNCTION("IF(OR(AND(C298&lt;&gt;"""", LEN(C298)&lt;3), LEN(C298)&gt;60, AND(D298&lt;&gt;"""", NOT(ISNUMBER(D298))), AND(ISNUMBER(D298), OR(D298&lt;0.01, D298&gt;999999999)), AND(COUNTA(D298:F298, H298:N298)&gt;0, C298=""""),                  
  AND(COUNTA(C298, H298:N298)&gt;0, D298=""""), LEN("&amp;"H298)&gt;50, AND(I298&lt;&gt;"""", NOT(ISNUMBER(I298))), AND(ISNUMBER(I298), OR(I298&lt;0, I298&gt;99998)), AND(L298&lt;&gt;"""", NOT(REGEXMATCH(L298&amp;"""", ""^\d{8,14}$"")))), ""Erro"", """")"),"")</f>
      </c>
    </row>
    <row r="299" ht="22.5" customHeight="true">
      <c r="A299" s="33"/>
      <c r="B299" s="34" t="str">
        <f t="shared" si="1"/>
      </c>
      <c r="C299" s="35"/>
      <c r="D299" s="36"/>
      <c r="E299" s="37"/>
      <c r="F299" s="38"/>
      <c r="G299" s="39" t="str">
        <f t="shared" si="2"/>
      </c>
      <c r="H299" s="40"/>
      <c r="I299" s="41"/>
      <c r="J299" s="41"/>
      <c r="K299" s="41"/>
      <c r="L299" s="42"/>
      <c r="M299" s="43"/>
      <c r="N299" s="44"/>
      <c r="O299" s="45"/>
      <c r="P299" s="46" t="str">
        <f>IFERROR(__xludf.DUMMYFUNCTION("IF(OR(AND(C299&lt;&gt;"""", LEN(C299)&lt;3), LEN(C299)&gt;60, AND(D299&lt;&gt;"""", NOT(ISNUMBER(D299))), AND(ISNUMBER(D299), OR(D299&lt;0.01, D299&gt;999999999)), AND(COUNTA(D299:F299, H299:N299)&gt;0, C299=""""),                  
  AND(COUNTA(C299, H299:N299)&gt;0, D299=""""), LEN("&amp;"H299)&gt;50, AND(I299&lt;&gt;"""", NOT(ISNUMBER(I299))), AND(ISNUMBER(I299), OR(I299&lt;0, I299&gt;99998)), AND(L299&lt;&gt;"""", NOT(REGEXMATCH(L299&amp;"""", ""^\d{8,14}$"")))), ""Erro"", """")"),"")</f>
      </c>
    </row>
    <row r="300" ht="22.5" customHeight="true">
      <c r="A300" s="33"/>
      <c r="B300" s="34" t="str">
        <f t="shared" si="1"/>
      </c>
      <c r="C300" s="35"/>
      <c r="D300" s="36"/>
      <c r="E300" s="37"/>
      <c r="F300" s="38"/>
      <c r="G300" s="39" t="str">
        <f t="shared" si="2"/>
      </c>
      <c r="H300" s="40"/>
      <c r="I300" s="41"/>
      <c r="J300" s="41"/>
      <c r="K300" s="41"/>
      <c r="L300" s="42"/>
      <c r="M300" s="43"/>
      <c r="N300" s="44"/>
      <c r="O300" s="45"/>
      <c r="P300" s="46" t="str">
        <f>IFERROR(__xludf.DUMMYFUNCTION("IF(OR(AND(C300&lt;&gt;"""", LEN(C300)&lt;3), LEN(C300)&gt;60, AND(D300&lt;&gt;"""", NOT(ISNUMBER(D300))), AND(ISNUMBER(D300), OR(D300&lt;0.01, D300&gt;999999999)), AND(COUNTA(D300:F300, H300:N300)&gt;0, C300=""""),                  
  AND(COUNTA(C300, H300:N300)&gt;0, D300=""""), LEN("&amp;"H300)&gt;50, AND(I300&lt;&gt;"""", NOT(ISNUMBER(I300))), AND(ISNUMBER(I300), OR(I300&lt;0, I300&gt;99998)), AND(L300&lt;&gt;"""", NOT(REGEXMATCH(L300&amp;"""", ""^\d{8,14}$"")))), ""Erro"", """")"),"")</f>
      </c>
    </row>
    <row r="301" ht="22.5" customHeight="true">
      <c r="A301" s="33"/>
      <c r="B301" s="34" t="str">
        <f t="shared" si="1"/>
      </c>
      <c r="C301" s="35"/>
      <c r="D301" s="36"/>
      <c r="E301" s="37"/>
      <c r="F301" s="38"/>
      <c r="G301" s="39" t="str">
        <f t="shared" si="2"/>
      </c>
      <c r="H301" s="40"/>
      <c r="I301" s="41"/>
      <c r="J301" s="41"/>
      <c r="K301" s="41"/>
      <c r="L301" s="42"/>
      <c r="M301" s="43"/>
      <c r="N301" s="44"/>
      <c r="O301" s="45"/>
      <c r="P301" s="46" t="str">
        <f>IFERROR(__xludf.DUMMYFUNCTION("IF(OR(AND(C301&lt;&gt;"""", LEN(C301)&lt;3), LEN(C301)&gt;60, AND(D301&lt;&gt;"""", NOT(ISNUMBER(D301))), AND(ISNUMBER(D301), OR(D301&lt;0.01, D301&gt;999999999)), AND(COUNTA(D301:F301, H301:N301)&gt;0, C301=""""),                  
  AND(COUNTA(C301, H301:N301)&gt;0, D301=""""), LEN("&amp;"H301)&gt;50, AND(I301&lt;&gt;"""", NOT(ISNUMBER(I301))), AND(ISNUMBER(I301), OR(I301&lt;0, I301&gt;99998)), AND(L301&lt;&gt;"""", NOT(REGEXMATCH(L301&amp;"""", ""^\d{8,14}$"")))), ""Erro"", """")"),"")</f>
      </c>
    </row>
    <row r="302" ht="22.5" customHeight="true">
      <c r="A302" s="33"/>
      <c r="B302" s="34" t="str">
        <f t="shared" si="1"/>
      </c>
      <c r="C302" s="35"/>
      <c r="D302" s="36"/>
      <c r="E302" s="37"/>
      <c r="F302" s="38"/>
      <c r="G302" s="39" t="str">
        <f t="shared" si="2"/>
      </c>
      <c r="H302" s="40"/>
      <c r="I302" s="41"/>
      <c r="J302" s="41"/>
      <c r="K302" s="41"/>
      <c r="L302" s="42"/>
      <c r="M302" s="43"/>
      <c r="N302" s="44"/>
      <c r="O302" s="45"/>
      <c r="P302" s="46" t="str">
        <f>IFERROR(__xludf.DUMMYFUNCTION("IF(OR(AND(C302&lt;&gt;"""", LEN(C302)&lt;3), LEN(C302)&gt;60, AND(D302&lt;&gt;"""", NOT(ISNUMBER(D302))), AND(ISNUMBER(D302), OR(D302&lt;0.01, D302&gt;999999999)), AND(COUNTA(D302:F302, H302:N302)&gt;0, C302=""""),                  
  AND(COUNTA(C302, H302:N302)&gt;0, D302=""""), LEN("&amp;"H302)&gt;50, AND(I302&lt;&gt;"""", NOT(ISNUMBER(I302))), AND(ISNUMBER(I302), OR(I302&lt;0, I302&gt;99998)), AND(L302&lt;&gt;"""", NOT(REGEXMATCH(L302&amp;"""", ""^\d{8,14}$"")))), ""Erro"", """")"),"")</f>
      </c>
    </row>
    <row r="303" ht="22.5" customHeight="true">
      <c r="A303" s="33"/>
      <c r="B303" s="34" t="str">
        <f t="shared" si="1"/>
      </c>
      <c r="C303" s="35"/>
      <c r="D303" s="36"/>
      <c r="E303" s="37"/>
      <c r="F303" s="38"/>
      <c r="G303" s="39" t="str">
        <f t="shared" si="2"/>
      </c>
      <c r="H303" s="40"/>
      <c r="I303" s="41"/>
      <c r="J303" s="41"/>
      <c r="K303" s="41"/>
      <c r="L303" s="42"/>
      <c r="M303" s="43"/>
      <c r="N303" s="44"/>
      <c r="O303" s="45"/>
      <c r="P303" s="46" t="str">
        <f>IFERROR(__xludf.DUMMYFUNCTION("IF(OR(AND(C303&lt;&gt;"""", LEN(C303)&lt;3), LEN(C303)&gt;60, AND(D303&lt;&gt;"""", NOT(ISNUMBER(D303))), AND(ISNUMBER(D303), OR(D303&lt;0.01, D303&gt;999999999)), AND(COUNTA(D303:F303, H303:N303)&gt;0, C303=""""),                  
  AND(COUNTA(C303, H303:N303)&gt;0, D303=""""), LEN("&amp;"H303)&gt;50, AND(I303&lt;&gt;"""", NOT(ISNUMBER(I303))), AND(ISNUMBER(I303), OR(I303&lt;0, I303&gt;99998)), AND(L303&lt;&gt;"""", NOT(REGEXMATCH(L303&amp;"""", ""^\d{8,14}$"")))), ""Erro"", """")"),"")</f>
      </c>
    </row>
    <row r="304" ht="22.5" customHeight="true">
      <c r="A304" s="33"/>
      <c r="B304" s="34" t="str">
        <f t="shared" si="1"/>
      </c>
      <c r="C304" s="35"/>
      <c r="D304" s="36"/>
      <c r="E304" s="37"/>
      <c r="F304" s="38"/>
      <c r="G304" s="39" t="str">
        <f t="shared" si="2"/>
      </c>
      <c r="H304" s="40"/>
      <c r="I304" s="41"/>
      <c r="J304" s="41"/>
      <c r="K304" s="41"/>
      <c r="L304" s="42"/>
      <c r="M304" s="43"/>
      <c r="N304" s="44"/>
      <c r="O304" s="45"/>
      <c r="P304" s="46" t="str">
        <f>IFERROR(__xludf.DUMMYFUNCTION("IF(OR(AND(C304&lt;&gt;"""", LEN(C304)&lt;3), LEN(C304)&gt;60, AND(D304&lt;&gt;"""", NOT(ISNUMBER(D304))), AND(ISNUMBER(D304), OR(D304&lt;0.01, D304&gt;999999999)), AND(COUNTA(D304:F304, H304:N304)&gt;0, C304=""""),                  
  AND(COUNTA(C304, H304:N304)&gt;0, D304=""""), LEN("&amp;"H304)&gt;50, AND(I304&lt;&gt;"""", NOT(ISNUMBER(I304))), AND(ISNUMBER(I304), OR(I304&lt;0, I304&gt;99998)), AND(L304&lt;&gt;"""", NOT(REGEXMATCH(L304&amp;"""", ""^\d{8,14}$"")))), ""Erro"", """")"),"")</f>
      </c>
    </row>
    <row r="305" ht="22.5" customHeight="true">
      <c r="A305" s="33"/>
      <c r="B305" s="34" t="str">
        <f t="shared" si="1"/>
      </c>
      <c r="C305" s="35"/>
      <c r="D305" s="36"/>
      <c r="E305" s="37"/>
      <c r="F305" s="38"/>
      <c r="G305" s="39" t="str">
        <f t="shared" si="2"/>
      </c>
      <c r="H305" s="40"/>
      <c r="I305" s="41"/>
      <c r="J305" s="41"/>
      <c r="K305" s="41"/>
      <c r="L305" s="42"/>
      <c r="M305" s="43"/>
      <c r="N305" s="44"/>
      <c r="O305" s="45"/>
      <c r="P305" s="46" t="str">
        <f>IFERROR(__xludf.DUMMYFUNCTION("IF(OR(AND(C305&lt;&gt;"""", LEN(C305)&lt;3), LEN(C305)&gt;60, AND(D305&lt;&gt;"""", NOT(ISNUMBER(D305))), AND(ISNUMBER(D305), OR(D305&lt;0.01, D305&gt;999999999)), AND(COUNTA(D305:F305, H305:N305)&gt;0, C305=""""),                  
  AND(COUNTA(C305, H305:N305)&gt;0, D305=""""), LEN("&amp;"H305)&gt;50, AND(I305&lt;&gt;"""", NOT(ISNUMBER(I305))), AND(ISNUMBER(I305), OR(I305&lt;0, I305&gt;99998)), AND(L305&lt;&gt;"""", NOT(REGEXMATCH(L305&amp;"""", ""^\d{8,14}$"")))), ""Erro"", """")"),"")</f>
      </c>
    </row>
    <row r="306" ht="22.5" customHeight="true">
      <c r="A306" s="33"/>
      <c r="B306" s="34" t="str">
        <f t="shared" si="1"/>
      </c>
      <c r="C306" s="35"/>
      <c r="D306" s="36"/>
      <c r="E306" s="37"/>
      <c r="F306" s="38"/>
      <c r="G306" s="39" t="str">
        <f t="shared" si="2"/>
      </c>
      <c r="H306" s="40"/>
      <c r="I306" s="41"/>
      <c r="J306" s="41"/>
      <c r="K306" s="41"/>
      <c r="L306" s="42"/>
      <c r="M306" s="43"/>
      <c r="N306" s="44"/>
      <c r="O306" s="45"/>
      <c r="P306" s="46" t="str">
        <f>IFERROR(__xludf.DUMMYFUNCTION("IF(OR(AND(C306&lt;&gt;"""", LEN(C306)&lt;3), LEN(C306)&gt;60, AND(D306&lt;&gt;"""", NOT(ISNUMBER(D306))), AND(ISNUMBER(D306), OR(D306&lt;0.01, D306&gt;999999999)), AND(COUNTA(D306:F306, H306:N306)&gt;0, C306=""""),                  
  AND(COUNTA(C306, H306:N306)&gt;0, D306=""""), LEN("&amp;"H306)&gt;50, AND(I306&lt;&gt;"""", NOT(ISNUMBER(I306))), AND(ISNUMBER(I306), OR(I306&lt;0, I306&gt;99998)), AND(L306&lt;&gt;"""", NOT(REGEXMATCH(L306&amp;"""", ""^\d{8,14}$"")))), ""Erro"", """")"),"")</f>
      </c>
    </row>
    <row r="307" ht="22.5" customHeight="true">
      <c r="A307" s="33"/>
      <c r="B307" s="34" t="str">
        <f t="shared" si="1"/>
      </c>
      <c r="C307" s="35"/>
      <c r="D307" s="36"/>
      <c r="E307" s="37"/>
      <c r="F307" s="38"/>
      <c r="G307" s="39" t="str">
        <f t="shared" si="2"/>
      </c>
      <c r="H307" s="40"/>
      <c r="I307" s="41"/>
      <c r="J307" s="41"/>
      <c r="K307" s="41"/>
      <c r="L307" s="42"/>
      <c r="M307" s="43"/>
      <c r="N307" s="44"/>
      <c r="O307" s="45"/>
      <c r="P307" s="46" t="str">
        <f>IFERROR(__xludf.DUMMYFUNCTION("IF(OR(AND(C307&lt;&gt;"""", LEN(C307)&lt;3), LEN(C307)&gt;60, AND(D307&lt;&gt;"""", NOT(ISNUMBER(D307))), AND(ISNUMBER(D307), OR(D307&lt;0.01, D307&gt;999999999)), AND(COUNTA(D307:F307, H307:N307)&gt;0, C307=""""),                  
  AND(COUNTA(C307, H307:N307)&gt;0, D307=""""), LEN("&amp;"H307)&gt;50, AND(I307&lt;&gt;"""", NOT(ISNUMBER(I307))), AND(ISNUMBER(I307), OR(I307&lt;0, I307&gt;99998)), AND(L307&lt;&gt;"""", NOT(REGEXMATCH(L307&amp;"""", ""^\d{8,14}$"")))), ""Erro"", """")"),"")</f>
      </c>
    </row>
    <row r="308" ht="22.5" customHeight="true">
      <c r="A308" s="33"/>
      <c r="B308" s="34" t="str">
        <f t="shared" si="1"/>
      </c>
      <c r="C308" s="35"/>
      <c r="D308" s="36"/>
      <c r="E308" s="37"/>
      <c r="F308" s="38"/>
      <c r="G308" s="39" t="str">
        <f t="shared" si="2"/>
      </c>
      <c r="H308" s="40"/>
      <c r="I308" s="41"/>
      <c r="J308" s="41"/>
      <c r="K308" s="41"/>
      <c r="L308" s="42"/>
      <c r="M308" s="43"/>
      <c r="N308" s="44"/>
      <c r="O308" s="45"/>
      <c r="P308" s="46" t="str">
        <f>IFERROR(__xludf.DUMMYFUNCTION("IF(OR(AND(C308&lt;&gt;"""", LEN(C308)&lt;3), LEN(C308)&gt;60, AND(D308&lt;&gt;"""", NOT(ISNUMBER(D308))), AND(ISNUMBER(D308), OR(D308&lt;0.01, D308&gt;999999999)), AND(COUNTA(D308:F308, H308:N308)&gt;0, C308=""""),                  
  AND(COUNTA(C308, H308:N308)&gt;0, D308=""""), LEN("&amp;"H308)&gt;50, AND(I308&lt;&gt;"""", NOT(ISNUMBER(I308))), AND(ISNUMBER(I308), OR(I308&lt;0, I308&gt;99998)), AND(L308&lt;&gt;"""", NOT(REGEXMATCH(L308&amp;"""", ""^\d{8,14}$"")))), ""Erro"", """")"),"")</f>
      </c>
    </row>
    <row r="309" ht="22.5" customHeight="true">
      <c r="A309" s="33"/>
      <c r="B309" s="34" t="str">
        <f t="shared" si="1"/>
      </c>
      <c r="C309" s="35"/>
      <c r="D309" s="36"/>
      <c r="E309" s="37"/>
      <c r="F309" s="38"/>
      <c r="G309" s="39" t="str">
        <f t="shared" si="2"/>
      </c>
      <c r="H309" s="40"/>
      <c r="I309" s="41"/>
      <c r="J309" s="41"/>
      <c r="K309" s="41"/>
      <c r="L309" s="42"/>
      <c r="M309" s="43"/>
      <c r="N309" s="44"/>
      <c r="O309" s="45"/>
      <c r="P309" s="46" t="str">
        <f>IFERROR(__xludf.DUMMYFUNCTION("IF(OR(AND(C309&lt;&gt;"""", LEN(C309)&lt;3), LEN(C309)&gt;60, AND(D309&lt;&gt;"""", NOT(ISNUMBER(D309))), AND(ISNUMBER(D309), OR(D309&lt;0.01, D309&gt;999999999)), AND(COUNTA(D309:F309, H309:N309)&gt;0, C309=""""),                  
  AND(COUNTA(C309, H309:N309)&gt;0, D309=""""), LEN("&amp;"H309)&gt;50, AND(I309&lt;&gt;"""", NOT(ISNUMBER(I309))), AND(ISNUMBER(I309), OR(I309&lt;0, I309&gt;99998)), AND(L309&lt;&gt;"""", NOT(REGEXMATCH(L309&amp;"""", ""^\d{8,14}$"")))), ""Erro"", """")"),"")</f>
      </c>
    </row>
    <row r="310" ht="22.5" customHeight="true">
      <c r="A310" s="33"/>
      <c r="B310" s="34" t="str">
        <f t="shared" si="1"/>
      </c>
      <c r="C310" s="35"/>
      <c r="D310" s="36"/>
      <c r="E310" s="37"/>
      <c r="F310" s="38"/>
      <c r="G310" s="39" t="str">
        <f t="shared" si="2"/>
      </c>
      <c r="H310" s="40"/>
      <c r="I310" s="41"/>
      <c r="J310" s="41"/>
      <c r="K310" s="41"/>
      <c r="L310" s="42"/>
      <c r="M310" s="43"/>
      <c r="N310" s="44"/>
      <c r="O310" s="45"/>
      <c r="P310" s="46" t="str">
        <f>IFERROR(__xludf.DUMMYFUNCTION("IF(OR(AND(C310&lt;&gt;"""", LEN(C310)&lt;3), LEN(C310)&gt;60, AND(D310&lt;&gt;"""", NOT(ISNUMBER(D310))), AND(ISNUMBER(D310), OR(D310&lt;0.01, D310&gt;999999999)), AND(COUNTA(D310:F310, H310:N310)&gt;0, C310=""""),                  
  AND(COUNTA(C310, H310:N310)&gt;0, D310=""""), LEN("&amp;"H310)&gt;50, AND(I310&lt;&gt;"""", NOT(ISNUMBER(I310))), AND(ISNUMBER(I310), OR(I310&lt;0, I310&gt;99998)), AND(L310&lt;&gt;"""", NOT(REGEXMATCH(L310&amp;"""", ""^\d{8,14}$"")))), ""Erro"", """")"),"")</f>
      </c>
    </row>
    <row r="311" ht="22.5" customHeight="true">
      <c r="A311" s="33"/>
      <c r="B311" s="34" t="str">
        <f t="shared" si="1"/>
      </c>
      <c r="C311" s="35"/>
      <c r="D311" s="36"/>
      <c r="E311" s="37"/>
      <c r="F311" s="38"/>
      <c r="G311" s="39" t="str">
        <f t="shared" si="2"/>
      </c>
      <c r="H311" s="40"/>
      <c r="I311" s="41"/>
      <c r="J311" s="41"/>
      <c r="K311" s="41"/>
      <c r="L311" s="42"/>
      <c r="M311" s="43"/>
      <c r="N311" s="44"/>
      <c r="O311" s="45"/>
      <c r="P311" s="46" t="str">
        <f>IFERROR(__xludf.DUMMYFUNCTION("IF(OR(AND(C311&lt;&gt;"""", LEN(C311)&lt;3), LEN(C311)&gt;60, AND(D311&lt;&gt;"""", NOT(ISNUMBER(D311))), AND(ISNUMBER(D311), OR(D311&lt;0.01, D311&gt;999999999)), AND(COUNTA(D311:F311, H311:N311)&gt;0, C311=""""),                  
  AND(COUNTA(C311, H311:N311)&gt;0, D311=""""), LEN("&amp;"H311)&gt;50, AND(I311&lt;&gt;"""", NOT(ISNUMBER(I311))), AND(ISNUMBER(I311), OR(I311&lt;0, I311&gt;99998)), AND(L311&lt;&gt;"""", NOT(REGEXMATCH(L311&amp;"""", ""^\d{8,14}$"")))), ""Erro"", """")"),"")</f>
      </c>
    </row>
    <row r="312" ht="22.5" customHeight="true">
      <c r="A312" s="33"/>
      <c r="B312" s="34" t="str">
        <f t="shared" si="1"/>
      </c>
      <c r="C312" s="35"/>
      <c r="D312" s="36"/>
      <c r="E312" s="37"/>
      <c r="F312" s="38"/>
      <c r="G312" s="39" t="str">
        <f t="shared" si="2"/>
      </c>
      <c r="H312" s="40"/>
      <c r="I312" s="41"/>
      <c r="J312" s="41"/>
      <c r="K312" s="41"/>
      <c r="L312" s="42"/>
      <c r="M312" s="43"/>
      <c r="N312" s="44"/>
      <c r="O312" s="45"/>
      <c r="P312" s="46" t="str">
        <f>IFERROR(__xludf.DUMMYFUNCTION("IF(OR(AND(C312&lt;&gt;"""", LEN(C312)&lt;3), LEN(C312)&gt;60, AND(D312&lt;&gt;"""", NOT(ISNUMBER(D312))), AND(ISNUMBER(D312), OR(D312&lt;0.01, D312&gt;999999999)), AND(COUNTA(D312:F312, H312:N312)&gt;0, C312=""""),                  
  AND(COUNTA(C312, H312:N312)&gt;0, D312=""""), LEN("&amp;"H312)&gt;50, AND(I312&lt;&gt;"""", NOT(ISNUMBER(I312))), AND(ISNUMBER(I312), OR(I312&lt;0, I312&gt;99998)), AND(L312&lt;&gt;"""", NOT(REGEXMATCH(L312&amp;"""", ""^\d{8,14}$"")))), ""Erro"", """")"),"")</f>
      </c>
    </row>
    <row r="313" ht="22.5" customHeight="true">
      <c r="A313" s="33"/>
      <c r="B313" s="34" t="str">
        <f t="shared" si="1"/>
      </c>
      <c r="C313" s="35"/>
      <c r="D313" s="36"/>
      <c r="E313" s="37"/>
      <c r="F313" s="38"/>
      <c r="G313" s="39" t="str">
        <f t="shared" si="2"/>
      </c>
      <c r="H313" s="40"/>
      <c r="I313" s="41"/>
      <c r="J313" s="41"/>
      <c r="K313" s="41"/>
      <c r="L313" s="42"/>
      <c r="M313" s="43"/>
      <c r="N313" s="44"/>
      <c r="O313" s="45"/>
      <c r="P313" s="46" t="str">
        <f>IFERROR(__xludf.DUMMYFUNCTION("IF(OR(AND(C313&lt;&gt;"""", LEN(C313)&lt;3), LEN(C313)&gt;60, AND(D313&lt;&gt;"""", NOT(ISNUMBER(D313))), AND(ISNUMBER(D313), OR(D313&lt;0.01, D313&gt;999999999)), AND(COUNTA(D313:F313, H313:N313)&gt;0, C313=""""),                  
  AND(COUNTA(C313, H313:N313)&gt;0, D313=""""), LEN("&amp;"H313)&gt;50, AND(I313&lt;&gt;"""", NOT(ISNUMBER(I313))), AND(ISNUMBER(I313), OR(I313&lt;0, I313&gt;99998)), AND(L313&lt;&gt;"""", NOT(REGEXMATCH(L313&amp;"""", ""^\d{8,14}$"")))), ""Erro"", """")"),"")</f>
      </c>
    </row>
    <row r="314" ht="15.75" customHeight="true">
      <c r="A314" s="33"/>
      <c r="B314" s="34" t="str">
        <f t="shared" si="1"/>
      </c>
      <c r="C314" s="35"/>
      <c r="D314" s="36"/>
      <c r="E314" s="37"/>
      <c r="F314" s="38"/>
      <c r="G314" s="39" t="str">
        <f t="shared" si="2"/>
      </c>
      <c r="H314" s="40"/>
      <c r="I314" s="41"/>
      <c r="J314" s="41"/>
      <c r="K314" s="41"/>
      <c r="L314" s="42"/>
      <c r="M314" s="43"/>
      <c r="N314" s="44"/>
      <c r="O314" s="45"/>
      <c r="P314" s="46" t="str">
        <f>IFERROR(__xludf.DUMMYFUNCTION("IF(OR(AND(C314&lt;&gt;"""", LEN(C314)&lt;3), LEN(C314)&gt;60, AND(D314&lt;&gt;"""", NOT(ISNUMBER(D314))), AND(ISNUMBER(D314), OR(D314&lt;0.01, D314&gt;999999999)), AND(COUNTA(D314:F314, H314:N314)&gt;0, C314=""""),                  
  AND(COUNTA(C314, H314:N314)&gt;0, D314=""""), LEN("&amp;"H314)&gt;50, AND(I314&lt;&gt;"""", NOT(ISNUMBER(I314))), AND(ISNUMBER(I314), OR(I314&lt;0, I314&gt;99998)), AND(L314&lt;&gt;"""", NOT(REGEXMATCH(L314&amp;"""", ""^\d{8,14}$"")))), ""Erro"", """")"),"")</f>
      </c>
    </row>
    <row r="315" ht="15.75" customHeight="true">
      <c r="A315" s="33"/>
      <c r="B315" s="34" t="str">
        <f t="shared" si="1"/>
      </c>
      <c r="C315" s="35"/>
      <c r="D315" s="36"/>
      <c r="E315" s="37"/>
      <c r="F315" s="38"/>
      <c r="G315" s="39" t="str">
        <f t="shared" si="2"/>
      </c>
      <c r="H315" s="40"/>
      <c r="I315" s="41"/>
      <c r="J315" s="41"/>
      <c r="K315" s="41"/>
      <c r="L315" s="42"/>
      <c r="M315" s="43"/>
      <c r="N315" s="44"/>
      <c r="O315" s="45"/>
      <c r="P315" s="46" t="str">
        <f>IFERROR(__xludf.DUMMYFUNCTION("IF(OR(AND(C315&lt;&gt;"""", LEN(C315)&lt;3), LEN(C315)&gt;60, AND(D315&lt;&gt;"""", NOT(ISNUMBER(D315))), AND(ISNUMBER(D315), OR(D315&lt;0.01, D315&gt;999999999)), AND(COUNTA(D315:F315, H315:N315)&gt;0, C315=""""),                  
  AND(COUNTA(C315, H315:N315)&gt;0, D315=""""), LEN("&amp;"H315)&gt;50, AND(I315&lt;&gt;"""", NOT(ISNUMBER(I315))), AND(ISNUMBER(I315), OR(I315&lt;0, I315&gt;99998)), AND(L315&lt;&gt;"""", NOT(REGEXMATCH(L315&amp;"""", ""^\d{8,14}$"")))), ""Erro"", """")"),"")</f>
      </c>
    </row>
    <row r="316" ht="15.75" customHeight="true">
      <c r="A316" s="33"/>
      <c r="B316" s="34" t="str">
        <f t="shared" si="1"/>
      </c>
      <c r="C316" s="35"/>
      <c r="D316" s="36"/>
      <c r="E316" s="37"/>
      <c r="F316" s="38"/>
      <c r="G316" s="39" t="str">
        <f t="shared" si="2"/>
      </c>
      <c r="H316" s="40"/>
      <c r="I316" s="41"/>
      <c r="J316" s="41"/>
      <c r="K316" s="41"/>
      <c r="L316" s="42"/>
      <c r="M316" s="43"/>
      <c r="N316" s="44"/>
      <c r="O316" s="45"/>
      <c r="P316" s="46" t="str">
        <f>IFERROR(__xludf.DUMMYFUNCTION("IF(OR(AND(C316&lt;&gt;"""", LEN(C316)&lt;3), LEN(C316)&gt;60, AND(D316&lt;&gt;"""", NOT(ISNUMBER(D316))), AND(ISNUMBER(D316), OR(D316&lt;0.01, D316&gt;999999999)), AND(COUNTA(D316:F316, H316:N316)&gt;0, C316=""""),                  
  AND(COUNTA(C316, H316:N316)&gt;0, D316=""""), LEN("&amp;"H316)&gt;50, AND(I316&lt;&gt;"""", NOT(ISNUMBER(I316))), AND(ISNUMBER(I316), OR(I316&lt;0, I316&gt;99998)), AND(L316&lt;&gt;"""", NOT(REGEXMATCH(L316&amp;"""", ""^\d{8,14}$"")))), ""Erro"", """")"),"")</f>
      </c>
    </row>
    <row r="317" ht="15.75" customHeight="true">
      <c r="A317" s="33"/>
      <c r="B317" s="34" t="str">
        <f t="shared" si="1"/>
      </c>
      <c r="C317" s="35"/>
      <c r="D317" s="36"/>
      <c r="E317" s="37"/>
      <c r="F317" s="38"/>
      <c r="G317" s="39" t="str">
        <f t="shared" si="2"/>
      </c>
      <c r="H317" s="40"/>
      <c r="I317" s="41"/>
      <c r="J317" s="41"/>
      <c r="K317" s="41"/>
      <c r="L317" s="42"/>
      <c r="M317" s="43"/>
      <c r="N317" s="44"/>
      <c r="O317" s="45"/>
      <c r="P317" s="46" t="str">
        <f>IFERROR(__xludf.DUMMYFUNCTION("IF(OR(AND(C317&lt;&gt;"""", LEN(C317)&lt;3), LEN(C317)&gt;60, AND(D317&lt;&gt;"""", NOT(ISNUMBER(D317))), AND(ISNUMBER(D317), OR(D317&lt;0.01, D317&gt;999999999)), AND(COUNTA(D317:F317, H317:N317)&gt;0, C317=""""),                  
  AND(COUNTA(C317, H317:N317)&gt;0, D317=""""), LEN("&amp;"H317)&gt;50, AND(I317&lt;&gt;"""", NOT(ISNUMBER(I317))), AND(ISNUMBER(I317), OR(I317&lt;0, I317&gt;99998)), AND(L317&lt;&gt;"""", NOT(REGEXMATCH(L317&amp;"""", ""^\d{8,14}$"")))), ""Erro"", """")"),"")</f>
      </c>
    </row>
    <row r="318" ht="15.75" customHeight="true">
      <c r="A318" s="33"/>
      <c r="B318" s="34" t="str">
        <f t="shared" si="1"/>
      </c>
      <c r="C318" s="35"/>
      <c r="D318" s="36"/>
      <c r="E318" s="37"/>
      <c r="F318" s="38"/>
      <c r="G318" s="39" t="str">
        <f t="shared" si="2"/>
      </c>
      <c r="H318" s="40"/>
      <c r="I318" s="41"/>
      <c r="J318" s="41"/>
      <c r="K318" s="41"/>
      <c r="L318" s="42"/>
      <c r="M318" s="43"/>
      <c r="N318" s="44"/>
      <c r="O318" s="45"/>
      <c r="P318" s="46" t="str">
        <f>IFERROR(__xludf.DUMMYFUNCTION("IF(OR(AND(C318&lt;&gt;"""", LEN(C318)&lt;3), LEN(C318)&gt;60, AND(D318&lt;&gt;"""", NOT(ISNUMBER(D318))), AND(ISNUMBER(D318), OR(D318&lt;0.01, D318&gt;999999999)), AND(COUNTA(D318:F318, H318:N318)&gt;0, C318=""""),                  
  AND(COUNTA(C318, H318:N318)&gt;0, D318=""""), LEN("&amp;"H318)&gt;50, AND(I318&lt;&gt;"""", NOT(ISNUMBER(I318))), AND(ISNUMBER(I318), OR(I318&lt;0, I318&gt;99998)), AND(L318&lt;&gt;"""", NOT(REGEXMATCH(L318&amp;"""", ""^\d{8,14}$"")))), ""Erro"", """")"),"")</f>
      </c>
    </row>
    <row r="319" ht="15.75" customHeight="true">
      <c r="A319" s="33"/>
      <c r="B319" s="34" t="str">
        <f t="shared" si="1"/>
      </c>
      <c r="C319" s="35"/>
      <c r="D319" s="36"/>
      <c r="E319" s="37"/>
      <c r="F319" s="38"/>
      <c r="G319" s="39" t="str">
        <f t="shared" si="2"/>
      </c>
      <c r="H319" s="40"/>
      <c r="I319" s="41"/>
      <c r="J319" s="41"/>
      <c r="K319" s="41"/>
      <c r="L319" s="42"/>
      <c r="M319" s="43"/>
      <c r="N319" s="44"/>
      <c r="O319" s="45"/>
      <c r="P319" s="46" t="str">
        <f>IFERROR(__xludf.DUMMYFUNCTION("IF(OR(AND(C319&lt;&gt;"""", LEN(C319)&lt;3), LEN(C319)&gt;60, AND(D319&lt;&gt;"""", NOT(ISNUMBER(D319))), AND(ISNUMBER(D319), OR(D319&lt;0.01, D319&gt;999999999)), AND(COUNTA(D319:F319, H319:N319)&gt;0, C319=""""),                  
  AND(COUNTA(C319, H319:N319)&gt;0, D319=""""), LEN("&amp;"H319)&gt;50, AND(I319&lt;&gt;"""", NOT(ISNUMBER(I319))), AND(ISNUMBER(I319), OR(I319&lt;0, I319&gt;99998)), AND(L319&lt;&gt;"""", NOT(REGEXMATCH(L319&amp;"""", ""^\d{8,14}$"")))), ""Erro"", """")"),"")</f>
      </c>
    </row>
    <row r="320" ht="15.75" customHeight="true">
      <c r="A320" s="33"/>
      <c r="B320" s="34" t="str">
        <f t="shared" si="1"/>
      </c>
      <c r="C320" s="35"/>
      <c r="D320" s="36"/>
      <c r="E320" s="37"/>
      <c r="F320" s="38"/>
      <c r="G320" s="39" t="str">
        <f t="shared" si="2"/>
      </c>
      <c r="H320" s="40"/>
      <c r="I320" s="41"/>
      <c r="J320" s="41"/>
      <c r="K320" s="41"/>
      <c r="L320" s="42"/>
      <c r="M320" s="43"/>
      <c r="N320" s="44"/>
      <c r="O320" s="45"/>
      <c r="P320" s="46" t="str">
        <f>IFERROR(__xludf.DUMMYFUNCTION("IF(OR(AND(C320&lt;&gt;"""", LEN(C320)&lt;3), LEN(C320)&gt;60, AND(D320&lt;&gt;"""", NOT(ISNUMBER(D320))), AND(ISNUMBER(D320), OR(D320&lt;0.01, D320&gt;999999999)), AND(COUNTA(D320:F320, H320:N320)&gt;0, C320=""""),                  
  AND(COUNTA(C320, H320:N320)&gt;0, D320=""""), LEN("&amp;"H320)&gt;50, AND(I320&lt;&gt;"""", NOT(ISNUMBER(I320))), AND(ISNUMBER(I320), OR(I320&lt;0, I320&gt;99998)), AND(L320&lt;&gt;"""", NOT(REGEXMATCH(L320&amp;"""", ""^\d{8,14}$"")))), ""Erro"", """")"),"")</f>
      </c>
    </row>
    <row r="321" ht="15.75" customHeight="true">
      <c r="A321" s="33"/>
      <c r="B321" s="34" t="str">
        <f t="shared" si="1"/>
      </c>
      <c r="C321" s="35"/>
      <c r="D321" s="36"/>
      <c r="E321" s="37"/>
      <c r="F321" s="38"/>
      <c r="G321" s="39" t="str">
        <f t="shared" si="2"/>
      </c>
      <c r="H321" s="40"/>
      <c r="I321" s="41"/>
      <c r="J321" s="41"/>
      <c r="K321" s="41"/>
      <c r="L321" s="42"/>
      <c r="M321" s="43"/>
      <c r="N321" s="44"/>
      <c r="O321" s="45"/>
      <c r="P321" s="46" t="str">
        <f>IFERROR(__xludf.DUMMYFUNCTION("IF(OR(AND(C321&lt;&gt;"""", LEN(C321)&lt;3), LEN(C321)&gt;60, AND(D321&lt;&gt;"""", NOT(ISNUMBER(D321))), AND(ISNUMBER(D321), OR(D321&lt;0.01, D321&gt;999999999)), AND(COUNTA(D321:F321, H321:N321)&gt;0, C321=""""),                  
  AND(COUNTA(C321, H321:N321)&gt;0, D321=""""), LEN("&amp;"H321)&gt;50, AND(I321&lt;&gt;"""", NOT(ISNUMBER(I321))), AND(ISNUMBER(I321), OR(I321&lt;0, I321&gt;99998)), AND(L321&lt;&gt;"""", NOT(REGEXMATCH(L321&amp;"""", ""^\d{8,14}$"")))), ""Erro"", """")"),"")</f>
      </c>
    </row>
    <row r="322" ht="15.75" customHeight="true">
      <c r="A322" s="33"/>
      <c r="B322" s="34" t="str">
        <f t="shared" si="1"/>
      </c>
      <c r="C322" s="35"/>
      <c r="D322" s="36"/>
      <c r="E322" s="37"/>
      <c r="F322" s="38"/>
      <c r="G322" s="39" t="str">
        <f t="shared" si="2"/>
      </c>
      <c r="H322" s="40"/>
      <c r="I322" s="41"/>
      <c r="J322" s="41"/>
      <c r="K322" s="41"/>
      <c r="L322" s="42"/>
      <c r="M322" s="43"/>
      <c r="N322" s="44"/>
      <c r="O322" s="45"/>
      <c r="P322" s="46" t="str">
        <f>IFERROR(__xludf.DUMMYFUNCTION("IF(OR(AND(C322&lt;&gt;"""", LEN(C322)&lt;3), LEN(C322)&gt;60, AND(D322&lt;&gt;"""", NOT(ISNUMBER(D322))), AND(ISNUMBER(D322), OR(D322&lt;0.01, D322&gt;999999999)), AND(COUNTA(D322:F322, H322:N322)&gt;0, C322=""""),                  
  AND(COUNTA(C322, H322:N322)&gt;0, D322=""""), LEN("&amp;"H322)&gt;50, AND(I322&lt;&gt;"""", NOT(ISNUMBER(I322))), AND(ISNUMBER(I322), OR(I322&lt;0, I322&gt;99998)), AND(L322&lt;&gt;"""", NOT(REGEXMATCH(L322&amp;"""", ""^\d{8,14}$"")))), ""Erro"", """")"),"")</f>
      </c>
    </row>
    <row r="323" ht="15.75" customHeight="true">
      <c r="A323" s="33"/>
      <c r="B323" s="34" t="str">
        <f t="shared" si="1"/>
      </c>
      <c r="C323" s="35"/>
      <c r="D323" s="36"/>
      <c r="E323" s="37"/>
      <c r="F323" s="38"/>
      <c r="G323" s="39" t="str">
        <f t="shared" si="2"/>
      </c>
      <c r="H323" s="40"/>
      <c r="I323" s="41"/>
      <c r="J323" s="41"/>
      <c r="K323" s="41"/>
      <c r="L323" s="42"/>
      <c r="M323" s="43"/>
      <c r="N323" s="44"/>
      <c r="O323" s="45"/>
      <c r="P323" s="46" t="str">
        <f>IFERROR(__xludf.DUMMYFUNCTION("IF(OR(AND(C323&lt;&gt;"""", LEN(C323)&lt;3), LEN(C323)&gt;60, AND(D323&lt;&gt;"""", NOT(ISNUMBER(D323))), AND(ISNUMBER(D323), OR(D323&lt;0.01, D323&gt;999999999)), AND(COUNTA(D323:F323, H323:N323)&gt;0, C323=""""),                  
  AND(COUNTA(C323, H323:N323)&gt;0, D323=""""), LEN("&amp;"H323)&gt;50, AND(I323&lt;&gt;"""", NOT(ISNUMBER(I323))), AND(ISNUMBER(I323), OR(I323&lt;0, I323&gt;99998)), AND(L323&lt;&gt;"""", NOT(REGEXMATCH(L323&amp;"""", ""^\d{8,14}$"")))), ""Erro"", """")"),"")</f>
      </c>
    </row>
    <row r="324" ht="15.75" customHeight="true">
      <c r="A324" s="33"/>
      <c r="B324" s="34" t="str">
        <f t="shared" si="1"/>
      </c>
      <c r="C324" s="35"/>
      <c r="D324" s="36"/>
      <c r="E324" s="37"/>
      <c r="F324" s="38"/>
      <c r="G324" s="39" t="str">
        <f t="shared" si="2"/>
      </c>
      <c r="H324" s="40"/>
      <c r="I324" s="41"/>
      <c r="J324" s="41"/>
      <c r="K324" s="41"/>
      <c r="L324" s="42"/>
      <c r="M324" s="43"/>
      <c r="N324" s="44"/>
      <c r="O324" s="45"/>
      <c r="P324" s="46" t="str">
        <f>IFERROR(__xludf.DUMMYFUNCTION("IF(OR(AND(C324&lt;&gt;"""", LEN(C324)&lt;3), LEN(C324)&gt;60, AND(D324&lt;&gt;"""", NOT(ISNUMBER(D324))), AND(ISNUMBER(D324), OR(D324&lt;0.01, D324&gt;999999999)), AND(COUNTA(D324:F324, H324:N324)&gt;0, C324=""""),                  
  AND(COUNTA(C324, H324:N324)&gt;0, D324=""""), LEN("&amp;"H324)&gt;50, AND(I324&lt;&gt;"""", NOT(ISNUMBER(I324))), AND(ISNUMBER(I324), OR(I324&lt;0, I324&gt;99998)), AND(L324&lt;&gt;"""", NOT(REGEXMATCH(L324&amp;"""", ""^\d{8,14}$"")))), ""Erro"", """")"),"")</f>
      </c>
    </row>
    <row r="325" ht="15.75" customHeight="true">
      <c r="A325" s="33"/>
      <c r="B325" s="34" t="str">
        <f t="shared" si="1"/>
      </c>
      <c r="C325" s="35"/>
      <c r="D325" s="36"/>
      <c r="E325" s="37"/>
      <c r="F325" s="38"/>
      <c r="G325" s="39" t="str">
        <f t="shared" si="2"/>
      </c>
      <c r="H325" s="40"/>
      <c r="I325" s="41"/>
      <c r="J325" s="41"/>
      <c r="K325" s="41"/>
      <c r="L325" s="42"/>
      <c r="M325" s="43"/>
      <c r="N325" s="44"/>
      <c r="O325" s="45"/>
      <c r="P325" s="46" t="str">
        <f>IFERROR(__xludf.DUMMYFUNCTION("IF(OR(AND(C325&lt;&gt;"""", LEN(C325)&lt;3), LEN(C325)&gt;60, AND(D325&lt;&gt;"""", NOT(ISNUMBER(D325))), AND(ISNUMBER(D325), OR(D325&lt;0.01, D325&gt;999999999)), AND(COUNTA(D325:F325, H325:N325)&gt;0, C325=""""),                  
  AND(COUNTA(C325, H325:N325)&gt;0, D325=""""), LEN("&amp;"H325)&gt;50, AND(I325&lt;&gt;"""", NOT(ISNUMBER(I325))), AND(ISNUMBER(I325), OR(I325&lt;0, I325&gt;99998)), AND(L325&lt;&gt;"""", NOT(REGEXMATCH(L325&amp;"""", ""^\d{8,14}$"")))), ""Erro"", """")"),"")</f>
      </c>
    </row>
    <row r="326" ht="15.75" customHeight="true">
      <c r="A326" s="33"/>
      <c r="B326" s="34" t="str">
        <f t="shared" si="1"/>
      </c>
      <c r="C326" s="35"/>
      <c r="D326" s="36"/>
      <c r="E326" s="37"/>
      <c r="F326" s="38"/>
      <c r="G326" s="39" t="str">
        <f t="shared" si="2"/>
      </c>
      <c r="H326" s="40"/>
      <c r="I326" s="41"/>
      <c r="J326" s="41"/>
      <c r="K326" s="41"/>
      <c r="L326" s="42"/>
      <c r="M326" s="43"/>
      <c r="N326" s="44"/>
      <c r="O326" s="45"/>
      <c r="P326" s="46" t="str">
        <f>IFERROR(__xludf.DUMMYFUNCTION("IF(OR(AND(C326&lt;&gt;"""", LEN(C326)&lt;3), LEN(C326)&gt;60, AND(D326&lt;&gt;"""", NOT(ISNUMBER(D326))), AND(ISNUMBER(D326), OR(D326&lt;0.01, D326&gt;999999999)), AND(COUNTA(D326:F326, H326:N326)&gt;0, C326=""""),                  
  AND(COUNTA(C326, H326:N326)&gt;0, D326=""""), LEN("&amp;"H326)&gt;50, AND(I326&lt;&gt;"""", NOT(ISNUMBER(I326))), AND(ISNUMBER(I326), OR(I326&lt;0, I326&gt;99998)), AND(L326&lt;&gt;"""", NOT(REGEXMATCH(L326&amp;"""", ""^\d{8,14}$"")))), ""Erro"", """")"),"")</f>
      </c>
    </row>
    <row r="327" ht="15.75" customHeight="true">
      <c r="A327" s="33"/>
      <c r="B327" s="34" t="str">
        <f t="shared" si="1"/>
      </c>
      <c r="C327" s="35"/>
      <c r="D327" s="36"/>
      <c r="E327" s="37"/>
      <c r="F327" s="38"/>
      <c r="G327" s="39" t="str">
        <f t="shared" si="2"/>
      </c>
      <c r="H327" s="40"/>
      <c r="I327" s="41"/>
      <c r="J327" s="41"/>
      <c r="K327" s="41"/>
      <c r="L327" s="42"/>
      <c r="M327" s="43"/>
      <c r="N327" s="44"/>
      <c r="O327" s="45"/>
      <c r="P327" s="46" t="str">
        <f>IFERROR(__xludf.DUMMYFUNCTION("IF(OR(AND(C327&lt;&gt;"""", LEN(C327)&lt;3), LEN(C327)&gt;60, AND(D327&lt;&gt;"""", NOT(ISNUMBER(D327))), AND(ISNUMBER(D327), OR(D327&lt;0.01, D327&gt;999999999)), AND(COUNTA(D327:F327, H327:N327)&gt;0, C327=""""),                  
  AND(COUNTA(C327, H327:N327)&gt;0, D327=""""), LEN("&amp;"H327)&gt;50, AND(I327&lt;&gt;"""", NOT(ISNUMBER(I327))), AND(ISNUMBER(I327), OR(I327&lt;0, I327&gt;99998)), AND(L327&lt;&gt;"""", NOT(REGEXMATCH(L327&amp;"""", ""^\d{8,14}$"")))), ""Erro"", """")"),"")</f>
      </c>
    </row>
    <row r="328" ht="15.75" customHeight="true">
      <c r="A328" s="33"/>
      <c r="B328" s="34" t="str">
        <f t="shared" si="1"/>
      </c>
      <c r="C328" s="35"/>
      <c r="D328" s="36"/>
      <c r="E328" s="37"/>
      <c r="F328" s="38"/>
      <c r="G328" s="39" t="str">
        <f t="shared" si="2"/>
      </c>
      <c r="H328" s="40"/>
      <c r="I328" s="41"/>
      <c r="J328" s="41"/>
      <c r="K328" s="41"/>
      <c r="L328" s="42"/>
      <c r="M328" s="43"/>
      <c r="N328" s="44"/>
      <c r="O328" s="45"/>
      <c r="P328" s="46" t="str">
        <f>IFERROR(__xludf.DUMMYFUNCTION("IF(OR(AND(C328&lt;&gt;"""", LEN(C328)&lt;3), LEN(C328)&gt;60, AND(D328&lt;&gt;"""", NOT(ISNUMBER(D328))), AND(ISNUMBER(D328), OR(D328&lt;0.01, D328&gt;999999999)), AND(COUNTA(D328:F328, H328:N328)&gt;0, C328=""""),                  
  AND(COUNTA(C328, H328:N328)&gt;0, D328=""""), LEN("&amp;"H328)&gt;50, AND(I328&lt;&gt;"""", NOT(ISNUMBER(I328))), AND(ISNUMBER(I328), OR(I328&lt;0, I328&gt;99998)), AND(L328&lt;&gt;"""", NOT(REGEXMATCH(L328&amp;"""", ""^\d{8,14}$"")))), ""Erro"", """")"),"")</f>
      </c>
    </row>
    <row r="329" ht="15.75" customHeight="true">
      <c r="A329" s="33"/>
      <c r="B329" s="34" t="str">
        <f t="shared" si="1"/>
      </c>
      <c r="C329" s="35"/>
      <c r="D329" s="36"/>
      <c r="E329" s="37"/>
      <c r="F329" s="38"/>
      <c r="G329" s="39" t="str">
        <f t="shared" si="2"/>
      </c>
      <c r="H329" s="40"/>
      <c r="I329" s="41"/>
      <c r="J329" s="41"/>
      <c r="K329" s="41"/>
      <c r="L329" s="42"/>
      <c r="M329" s="43"/>
      <c r="N329" s="44"/>
      <c r="O329" s="45"/>
      <c r="P329" s="46" t="str">
        <f>IFERROR(__xludf.DUMMYFUNCTION("IF(OR(AND(C329&lt;&gt;"""", LEN(C329)&lt;3), LEN(C329)&gt;60, AND(D329&lt;&gt;"""", NOT(ISNUMBER(D329))), AND(ISNUMBER(D329), OR(D329&lt;0.01, D329&gt;999999999)), AND(COUNTA(D329:F329, H329:N329)&gt;0, C329=""""),                  
  AND(COUNTA(C329, H329:N329)&gt;0, D329=""""), LEN("&amp;"H329)&gt;50, AND(I329&lt;&gt;"""", NOT(ISNUMBER(I329))), AND(ISNUMBER(I329), OR(I329&lt;0, I329&gt;99998)), AND(L329&lt;&gt;"""", NOT(REGEXMATCH(L329&amp;"""", ""^\d{8,14}$"")))), ""Erro"", """")"),"")</f>
      </c>
    </row>
    <row r="330" ht="15.75" customHeight="true">
      <c r="A330" s="33"/>
      <c r="B330" s="34" t="str">
        <f t="shared" si="1"/>
      </c>
      <c r="C330" s="35"/>
      <c r="D330" s="36"/>
      <c r="E330" s="37"/>
      <c r="F330" s="38"/>
      <c r="G330" s="39" t="str">
        <f t="shared" si="2"/>
      </c>
      <c r="H330" s="40"/>
      <c r="I330" s="41"/>
      <c r="J330" s="41"/>
      <c r="K330" s="41"/>
      <c r="L330" s="42"/>
      <c r="M330" s="43"/>
      <c r="N330" s="44"/>
      <c r="O330" s="45"/>
      <c r="P330" s="46" t="str">
        <f>IFERROR(__xludf.DUMMYFUNCTION("IF(OR(AND(C330&lt;&gt;"""", LEN(C330)&lt;3), LEN(C330)&gt;60, AND(D330&lt;&gt;"""", NOT(ISNUMBER(D330))), AND(ISNUMBER(D330), OR(D330&lt;0.01, D330&gt;999999999)), AND(COUNTA(D330:F330, H330:N330)&gt;0, C330=""""),                  
  AND(COUNTA(C330, H330:N330)&gt;0, D330=""""), LEN("&amp;"H330)&gt;50, AND(I330&lt;&gt;"""", NOT(ISNUMBER(I330))), AND(ISNUMBER(I330), OR(I330&lt;0, I330&gt;99998)), AND(L330&lt;&gt;"""", NOT(REGEXMATCH(L330&amp;"""", ""^\d{8,14}$"")))), ""Erro"", """")"),"")</f>
      </c>
    </row>
    <row r="331" ht="15.75" customHeight="true">
      <c r="A331" s="33"/>
      <c r="B331" s="34" t="str">
        <f t="shared" si="1"/>
      </c>
      <c r="C331" s="35"/>
      <c r="D331" s="36"/>
      <c r="E331" s="37"/>
      <c r="F331" s="38"/>
      <c r="G331" s="39" t="str">
        <f t="shared" si="2"/>
      </c>
      <c r="H331" s="40"/>
      <c r="I331" s="41"/>
      <c r="J331" s="41"/>
      <c r="K331" s="41"/>
      <c r="L331" s="42"/>
      <c r="M331" s="43"/>
      <c r="N331" s="44"/>
      <c r="O331" s="45"/>
      <c r="P331" s="46" t="str">
        <f>IFERROR(__xludf.DUMMYFUNCTION("IF(OR(AND(C331&lt;&gt;"""", LEN(C331)&lt;3), LEN(C331)&gt;60, AND(D331&lt;&gt;"""", NOT(ISNUMBER(D331))), AND(ISNUMBER(D331), OR(D331&lt;0.01, D331&gt;999999999)), AND(COUNTA(D331:F331, H331:N331)&gt;0, C331=""""),                  
  AND(COUNTA(C331, H331:N331)&gt;0, D331=""""), LEN("&amp;"H331)&gt;50, AND(I331&lt;&gt;"""", NOT(ISNUMBER(I331))), AND(ISNUMBER(I331), OR(I331&lt;0, I331&gt;99998)), AND(L331&lt;&gt;"""", NOT(REGEXMATCH(L331&amp;"""", ""^\d{8,14}$"")))), ""Erro"", """")"),"")</f>
      </c>
    </row>
    <row r="332" ht="15.75" customHeight="true">
      <c r="A332" s="33"/>
      <c r="B332" s="34" t="str">
        <f t="shared" si="1"/>
      </c>
      <c r="C332" s="35"/>
      <c r="D332" s="36"/>
      <c r="E332" s="37"/>
      <c r="F332" s="38"/>
      <c r="G332" s="39" t="str">
        <f t="shared" si="2"/>
      </c>
      <c r="H332" s="40"/>
      <c r="I332" s="41"/>
      <c r="J332" s="41"/>
      <c r="K332" s="41"/>
      <c r="L332" s="42"/>
      <c r="M332" s="43"/>
      <c r="N332" s="44"/>
      <c r="O332" s="45"/>
      <c r="P332" s="46" t="str">
        <f>IFERROR(__xludf.DUMMYFUNCTION("IF(OR(AND(C332&lt;&gt;"""", LEN(C332)&lt;3), LEN(C332)&gt;60, AND(D332&lt;&gt;"""", NOT(ISNUMBER(D332))), AND(ISNUMBER(D332), OR(D332&lt;0.01, D332&gt;999999999)), AND(COUNTA(D332:F332, H332:N332)&gt;0, C332=""""),                  
  AND(COUNTA(C332, H332:N332)&gt;0, D332=""""), LEN("&amp;"H332)&gt;50, AND(I332&lt;&gt;"""", NOT(ISNUMBER(I332))), AND(ISNUMBER(I332), OR(I332&lt;0, I332&gt;99998)), AND(L332&lt;&gt;"""", NOT(REGEXMATCH(L332&amp;"""", ""^\d{8,14}$"")))), ""Erro"", """")"),"")</f>
      </c>
    </row>
    <row r="333" ht="15.75" customHeight="true">
      <c r="A333" s="33"/>
      <c r="B333" s="34" t="str">
        <f t="shared" si="1"/>
      </c>
      <c r="C333" s="35"/>
      <c r="D333" s="36"/>
      <c r="E333" s="37"/>
      <c r="F333" s="38"/>
      <c r="G333" s="39" t="str">
        <f t="shared" si="2"/>
      </c>
      <c r="H333" s="40"/>
      <c r="I333" s="41"/>
      <c r="J333" s="41"/>
      <c r="K333" s="41"/>
      <c r="L333" s="42"/>
      <c r="M333" s="43"/>
      <c r="N333" s="44"/>
      <c r="O333" s="45"/>
      <c r="P333" s="46" t="str">
        <f>IFERROR(__xludf.DUMMYFUNCTION("IF(OR(AND(C333&lt;&gt;"""", LEN(C333)&lt;3), LEN(C333)&gt;60, AND(D333&lt;&gt;"""", NOT(ISNUMBER(D333))), AND(ISNUMBER(D333), OR(D333&lt;0.01, D333&gt;999999999)), AND(COUNTA(D333:F333, H333:N333)&gt;0, C333=""""),                  
  AND(COUNTA(C333, H333:N333)&gt;0, D333=""""), LEN("&amp;"H333)&gt;50, AND(I333&lt;&gt;"""", NOT(ISNUMBER(I333))), AND(ISNUMBER(I333), OR(I333&lt;0, I333&gt;99998)), AND(L333&lt;&gt;"""", NOT(REGEXMATCH(L333&amp;"""", ""^\d{8,14}$"")))), ""Erro"", """")"),"")</f>
      </c>
    </row>
    <row r="334" ht="15.75" customHeight="true">
      <c r="A334" s="33"/>
      <c r="B334" s="34" t="str">
        <f t="shared" si="1"/>
      </c>
      <c r="C334" s="35"/>
      <c r="D334" s="36"/>
      <c r="E334" s="37"/>
      <c r="F334" s="38"/>
      <c r="G334" s="39" t="str">
        <f t="shared" si="2"/>
      </c>
      <c r="H334" s="40"/>
      <c r="I334" s="41"/>
      <c r="J334" s="41"/>
      <c r="K334" s="41"/>
      <c r="L334" s="42"/>
      <c r="M334" s="43"/>
      <c r="N334" s="44"/>
      <c r="O334" s="45"/>
      <c r="P334" s="46" t="str">
        <f>IFERROR(__xludf.DUMMYFUNCTION("IF(OR(AND(C334&lt;&gt;"""", LEN(C334)&lt;3), LEN(C334)&gt;60, AND(D334&lt;&gt;"""", NOT(ISNUMBER(D334))), AND(ISNUMBER(D334), OR(D334&lt;0.01, D334&gt;999999999)), AND(COUNTA(D334:F334, H334:N334)&gt;0, C334=""""),                  
  AND(COUNTA(C334, H334:N334)&gt;0, D334=""""), LEN("&amp;"H334)&gt;50, AND(I334&lt;&gt;"""", NOT(ISNUMBER(I334))), AND(ISNUMBER(I334), OR(I334&lt;0, I334&gt;99998)), AND(L334&lt;&gt;"""", NOT(REGEXMATCH(L334&amp;"""", ""^\d{8,14}$"")))), ""Erro"", """")"),"")</f>
      </c>
    </row>
    <row r="335" ht="15.75" customHeight="true">
      <c r="A335" s="33"/>
      <c r="B335" s="34" t="str">
        <f t="shared" si="1"/>
      </c>
      <c r="C335" s="35"/>
      <c r="D335" s="36"/>
      <c r="E335" s="37"/>
      <c r="F335" s="38"/>
      <c r="G335" s="39" t="str">
        <f t="shared" si="2"/>
      </c>
      <c r="H335" s="40"/>
      <c r="I335" s="41"/>
      <c r="J335" s="41"/>
      <c r="K335" s="41"/>
      <c r="L335" s="42"/>
      <c r="M335" s="43"/>
      <c r="N335" s="44"/>
      <c r="O335" s="45"/>
      <c r="P335" s="46" t="str">
        <f>IFERROR(__xludf.DUMMYFUNCTION("IF(OR(AND(C335&lt;&gt;"""", LEN(C335)&lt;3), LEN(C335)&gt;60, AND(D335&lt;&gt;"""", NOT(ISNUMBER(D335))), AND(ISNUMBER(D335), OR(D335&lt;0.01, D335&gt;999999999)), AND(COUNTA(D335:F335, H335:N335)&gt;0, C335=""""),                  
  AND(COUNTA(C335, H335:N335)&gt;0, D335=""""), LEN("&amp;"H335)&gt;50, AND(I335&lt;&gt;"""", NOT(ISNUMBER(I335))), AND(ISNUMBER(I335), OR(I335&lt;0, I335&gt;99998)), AND(L335&lt;&gt;"""", NOT(REGEXMATCH(L335&amp;"""", ""^\d{8,14}$"")))), ""Erro"", """")"),"")</f>
      </c>
    </row>
    <row r="336" ht="15.75" customHeight="true">
      <c r="A336" s="33"/>
      <c r="B336" s="34" t="str">
        <f t="shared" si="1"/>
      </c>
      <c r="C336" s="35"/>
      <c r="D336" s="36"/>
      <c r="E336" s="37"/>
      <c r="F336" s="38"/>
      <c r="G336" s="39" t="str">
        <f t="shared" si="2"/>
      </c>
      <c r="H336" s="40"/>
      <c r="I336" s="41"/>
      <c r="J336" s="41"/>
      <c r="K336" s="41"/>
      <c r="L336" s="42"/>
      <c r="M336" s="43"/>
      <c r="N336" s="44"/>
      <c r="O336" s="45"/>
      <c r="P336" s="46" t="str">
        <f>IFERROR(__xludf.DUMMYFUNCTION("IF(OR(AND(C336&lt;&gt;"""", LEN(C336)&lt;3), LEN(C336)&gt;60, AND(D336&lt;&gt;"""", NOT(ISNUMBER(D336))), AND(ISNUMBER(D336), OR(D336&lt;0.01, D336&gt;999999999)), AND(COUNTA(D336:F336, H336:N336)&gt;0, C336=""""),                  
  AND(COUNTA(C336, H336:N336)&gt;0, D336=""""), LEN("&amp;"H336)&gt;50, AND(I336&lt;&gt;"""", NOT(ISNUMBER(I336))), AND(ISNUMBER(I336), OR(I336&lt;0, I336&gt;99998)), AND(L336&lt;&gt;"""", NOT(REGEXMATCH(L336&amp;"""", ""^\d{8,14}$"")))), ""Erro"", """")"),"")</f>
      </c>
    </row>
    <row r="337" ht="15.75" customHeight="true">
      <c r="A337" s="33"/>
      <c r="B337" s="34" t="str">
        <f t="shared" si="1"/>
      </c>
      <c r="C337" s="35"/>
      <c r="D337" s="36"/>
      <c r="E337" s="37"/>
      <c r="F337" s="38"/>
      <c r="G337" s="39" t="str">
        <f t="shared" si="2"/>
      </c>
      <c r="H337" s="40"/>
      <c r="I337" s="41"/>
      <c r="J337" s="41"/>
      <c r="K337" s="41"/>
      <c r="L337" s="42"/>
      <c r="M337" s="43"/>
      <c r="N337" s="44"/>
      <c r="O337" s="45"/>
      <c r="P337" s="46" t="str">
        <f>IFERROR(__xludf.DUMMYFUNCTION("IF(OR(AND(C337&lt;&gt;"""", LEN(C337)&lt;3), LEN(C337)&gt;60, AND(D337&lt;&gt;"""", NOT(ISNUMBER(D337))), AND(ISNUMBER(D337), OR(D337&lt;0.01, D337&gt;999999999)), AND(COUNTA(D337:F337, H337:N337)&gt;0, C337=""""),                  
  AND(COUNTA(C337, H337:N337)&gt;0, D337=""""), LEN("&amp;"H337)&gt;50, AND(I337&lt;&gt;"""", NOT(ISNUMBER(I337))), AND(ISNUMBER(I337), OR(I337&lt;0, I337&gt;99998)), AND(L337&lt;&gt;"""", NOT(REGEXMATCH(L337&amp;"""", ""^\d{8,14}$"")))), ""Erro"", """")"),"")</f>
      </c>
    </row>
    <row r="338" ht="15.75" customHeight="true">
      <c r="A338" s="33"/>
      <c r="B338" s="34" t="str">
        <f t="shared" si="1"/>
      </c>
      <c r="C338" s="35"/>
      <c r="D338" s="36"/>
      <c r="E338" s="37"/>
      <c r="F338" s="38"/>
      <c r="G338" s="39" t="str">
        <f t="shared" si="2"/>
      </c>
      <c r="H338" s="40"/>
      <c r="I338" s="41"/>
      <c r="J338" s="41"/>
      <c r="K338" s="41"/>
      <c r="L338" s="42"/>
      <c r="M338" s="43"/>
      <c r="N338" s="44"/>
      <c r="O338" s="45"/>
      <c r="P338" s="46" t="str">
        <f>IFERROR(__xludf.DUMMYFUNCTION("IF(OR(AND(C338&lt;&gt;"""", LEN(C338)&lt;3), LEN(C338)&gt;60, AND(D338&lt;&gt;"""", NOT(ISNUMBER(D338))), AND(ISNUMBER(D338), OR(D338&lt;0.01, D338&gt;999999999)), AND(COUNTA(D338:F338, H338:N338)&gt;0, C338=""""),                  
  AND(COUNTA(C338, H338:N338)&gt;0, D338=""""), LEN("&amp;"H338)&gt;50, AND(I338&lt;&gt;"""", NOT(ISNUMBER(I338))), AND(ISNUMBER(I338), OR(I338&lt;0, I338&gt;99998)), AND(L338&lt;&gt;"""", NOT(REGEXMATCH(L338&amp;"""", ""^\d{8,14}$"")))), ""Erro"", """")"),"")</f>
      </c>
    </row>
    <row r="339" ht="15.75" customHeight="true">
      <c r="A339" s="33"/>
      <c r="B339" s="34" t="str">
        <f t="shared" si="1"/>
      </c>
      <c r="C339" s="35"/>
      <c r="D339" s="36"/>
      <c r="E339" s="37"/>
      <c r="F339" s="38"/>
      <c r="G339" s="39" t="str">
        <f t="shared" si="2"/>
      </c>
      <c r="H339" s="40"/>
      <c r="I339" s="41"/>
      <c r="J339" s="41"/>
      <c r="K339" s="41"/>
      <c r="L339" s="42"/>
      <c r="M339" s="43"/>
      <c r="N339" s="44"/>
      <c r="O339" s="45"/>
      <c r="P339" s="46" t="str">
        <f>IFERROR(__xludf.DUMMYFUNCTION("IF(OR(AND(C339&lt;&gt;"""", LEN(C339)&lt;3), LEN(C339)&gt;60, AND(D339&lt;&gt;"""", NOT(ISNUMBER(D339))), AND(ISNUMBER(D339), OR(D339&lt;0.01, D339&gt;999999999)), AND(COUNTA(D339:F339, H339:N339)&gt;0, C339=""""),                  
  AND(COUNTA(C339, H339:N339)&gt;0, D339=""""), LEN("&amp;"H339)&gt;50, AND(I339&lt;&gt;"""", NOT(ISNUMBER(I339))), AND(ISNUMBER(I339), OR(I339&lt;0, I339&gt;99998)), AND(L339&lt;&gt;"""", NOT(REGEXMATCH(L339&amp;"""", ""^\d{8,14}$"")))), ""Erro"", """")"),"")</f>
      </c>
    </row>
    <row r="340" ht="15.75" customHeight="true">
      <c r="A340" s="33"/>
      <c r="B340" s="34" t="str">
        <f t="shared" si="1"/>
      </c>
      <c r="C340" s="35"/>
      <c r="D340" s="36"/>
      <c r="E340" s="37"/>
      <c r="F340" s="38"/>
      <c r="G340" s="39" t="str">
        <f t="shared" si="2"/>
      </c>
      <c r="H340" s="40"/>
      <c r="I340" s="41"/>
      <c r="J340" s="41"/>
      <c r="K340" s="41"/>
      <c r="L340" s="42"/>
      <c r="M340" s="43"/>
      <c r="N340" s="44"/>
      <c r="O340" s="45"/>
      <c r="P340" s="46" t="str">
        <f>IFERROR(__xludf.DUMMYFUNCTION("IF(OR(AND(C340&lt;&gt;"""", LEN(C340)&lt;3), LEN(C340)&gt;60, AND(D340&lt;&gt;"""", NOT(ISNUMBER(D340))), AND(ISNUMBER(D340), OR(D340&lt;0.01, D340&gt;999999999)), AND(COUNTA(D340:F340, H340:N340)&gt;0, C340=""""),                  
  AND(COUNTA(C340, H340:N340)&gt;0, D340=""""), LEN("&amp;"H340)&gt;50, AND(I340&lt;&gt;"""", NOT(ISNUMBER(I340))), AND(ISNUMBER(I340), OR(I340&lt;0, I340&gt;99998)), AND(L340&lt;&gt;"""", NOT(REGEXMATCH(L340&amp;"""", ""^\d{8,14}$"")))), ""Erro"", """")"),"")</f>
      </c>
    </row>
    <row r="341" ht="15.75" customHeight="true">
      <c r="A341" s="33"/>
      <c r="B341" s="34" t="str">
        <f t="shared" si="1"/>
      </c>
      <c r="C341" s="35"/>
      <c r="D341" s="36"/>
      <c r="E341" s="37"/>
      <c r="F341" s="38"/>
      <c r="G341" s="39" t="str">
        <f t="shared" si="2"/>
      </c>
      <c r="H341" s="40"/>
      <c r="I341" s="41"/>
      <c r="J341" s="41"/>
      <c r="K341" s="41"/>
      <c r="L341" s="42"/>
      <c r="M341" s="43"/>
      <c r="N341" s="44"/>
      <c r="O341" s="45"/>
      <c r="P341" s="46" t="str">
        <f>IFERROR(__xludf.DUMMYFUNCTION("IF(OR(AND(C341&lt;&gt;"""", LEN(C341)&lt;3), LEN(C341)&gt;60, AND(D341&lt;&gt;"""", NOT(ISNUMBER(D341))), AND(ISNUMBER(D341), OR(D341&lt;0.01, D341&gt;999999999)), AND(COUNTA(D341:F341, H341:N341)&gt;0, C341=""""),                  
  AND(COUNTA(C341, H341:N341)&gt;0, D341=""""), LEN("&amp;"H341)&gt;50, AND(I341&lt;&gt;"""", NOT(ISNUMBER(I341))), AND(ISNUMBER(I341), OR(I341&lt;0, I341&gt;99998)), AND(L341&lt;&gt;"""", NOT(REGEXMATCH(L341&amp;"""", ""^\d{8,14}$"")))), ""Erro"", """")"),"")</f>
      </c>
    </row>
    <row r="342" ht="15.75" customHeight="true">
      <c r="A342" s="33"/>
      <c r="B342" s="34" t="str">
        <f t="shared" si="1"/>
      </c>
      <c r="C342" s="35"/>
      <c r="D342" s="36"/>
      <c r="E342" s="37"/>
      <c r="F342" s="38"/>
      <c r="G342" s="39" t="str">
        <f t="shared" si="2"/>
      </c>
      <c r="H342" s="40"/>
      <c r="I342" s="41"/>
      <c r="J342" s="41"/>
      <c r="K342" s="41"/>
      <c r="L342" s="42"/>
      <c r="M342" s="43"/>
      <c r="N342" s="44"/>
      <c r="O342" s="45"/>
      <c r="P342" s="46" t="str">
        <f>IFERROR(__xludf.DUMMYFUNCTION("IF(OR(AND(C342&lt;&gt;"""", LEN(C342)&lt;3), LEN(C342)&gt;60, AND(D342&lt;&gt;"""", NOT(ISNUMBER(D342))), AND(ISNUMBER(D342), OR(D342&lt;0.01, D342&gt;999999999)), AND(COUNTA(D342:F342, H342:N342)&gt;0, C342=""""),                  
  AND(COUNTA(C342, H342:N342)&gt;0, D342=""""), LEN("&amp;"H342)&gt;50, AND(I342&lt;&gt;"""", NOT(ISNUMBER(I342))), AND(ISNUMBER(I342), OR(I342&lt;0, I342&gt;99998)), AND(L342&lt;&gt;"""", NOT(REGEXMATCH(L342&amp;"""", ""^\d{8,14}$"")))), ""Erro"", """")"),"")</f>
      </c>
    </row>
    <row r="343" ht="15.75" customHeight="true">
      <c r="A343" s="33"/>
      <c r="B343" s="34" t="str">
        <f t="shared" si="1"/>
      </c>
      <c r="C343" s="35"/>
      <c r="D343" s="36"/>
      <c r="E343" s="37"/>
      <c r="F343" s="38"/>
      <c r="G343" s="39" t="str">
        <f t="shared" si="2"/>
      </c>
      <c r="H343" s="40"/>
      <c r="I343" s="41"/>
      <c r="J343" s="41"/>
      <c r="K343" s="41"/>
      <c r="L343" s="42"/>
      <c r="M343" s="43"/>
      <c r="N343" s="44"/>
      <c r="O343" s="45"/>
      <c r="P343" s="46" t="str">
        <f>IFERROR(__xludf.DUMMYFUNCTION("IF(OR(AND(C343&lt;&gt;"""", LEN(C343)&lt;3), LEN(C343)&gt;60, AND(D343&lt;&gt;"""", NOT(ISNUMBER(D343))), AND(ISNUMBER(D343), OR(D343&lt;0.01, D343&gt;999999999)), AND(COUNTA(D343:F343, H343:N343)&gt;0, C343=""""),                  
  AND(COUNTA(C343, H343:N343)&gt;0, D343=""""), LEN("&amp;"H343)&gt;50, AND(I343&lt;&gt;"""", NOT(ISNUMBER(I343))), AND(ISNUMBER(I343), OR(I343&lt;0, I343&gt;99998)), AND(L343&lt;&gt;"""", NOT(REGEXMATCH(L343&amp;"""", ""^\d{8,14}$"")))), ""Erro"", """")"),"")</f>
      </c>
    </row>
    <row r="344" ht="15.75" customHeight="true">
      <c r="A344" s="33"/>
      <c r="B344" s="34" t="str">
        <f t="shared" si="1"/>
      </c>
      <c r="C344" s="35"/>
      <c r="D344" s="36"/>
      <c r="E344" s="37"/>
      <c r="F344" s="38"/>
      <c r="G344" s="39" t="str">
        <f t="shared" si="2"/>
      </c>
      <c r="H344" s="40"/>
      <c r="I344" s="41"/>
      <c r="J344" s="41"/>
      <c r="K344" s="41"/>
      <c r="L344" s="42"/>
      <c r="M344" s="43"/>
      <c r="N344" s="44"/>
      <c r="O344" s="45"/>
      <c r="P344" s="46" t="str">
        <f>IFERROR(__xludf.DUMMYFUNCTION("IF(OR(AND(C344&lt;&gt;"""", LEN(C344)&lt;3), LEN(C344)&gt;60, AND(D344&lt;&gt;"""", NOT(ISNUMBER(D344))), AND(ISNUMBER(D344), OR(D344&lt;0.01, D344&gt;999999999)), AND(COUNTA(D344:F344, H344:N344)&gt;0, C344=""""),                  
  AND(COUNTA(C344, H344:N344)&gt;0, D344=""""), LEN("&amp;"H344)&gt;50, AND(I344&lt;&gt;"""", NOT(ISNUMBER(I344))), AND(ISNUMBER(I344), OR(I344&lt;0, I344&gt;99998)), AND(L344&lt;&gt;"""", NOT(REGEXMATCH(L344&amp;"""", ""^\d{8,14}$"")))), ""Erro"", """")"),"")</f>
      </c>
    </row>
    <row r="345" ht="15.75" customHeight="true">
      <c r="A345" s="33"/>
      <c r="B345" s="34" t="str">
        <f t="shared" si="1"/>
      </c>
      <c r="C345" s="35"/>
      <c r="D345" s="36"/>
      <c r="E345" s="37"/>
      <c r="F345" s="38"/>
      <c r="G345" s="39" t="str">
        <f t="shared" si="2"/>
      </c>
      <c r="H345" s="40"/>
      <c r="I345" s="41"/>
      <c r="J345" s="41"/>
      <c r="K345" s="41"/>
      <c r="L345" s="42"/>
      <c r="M345" s="43"/>
      <c r="N345" s="44"/>
      <c r="O345" s="45"/>
      <c r="P345" s="46" t="str">
        <f>IFERROR(__xludf.DUMMYFUNCTION("IF(OR(AND(C345&lt;&gt;"""", LEN(C345)&lt;3), LEN(C345)&gt;60, AND(D345&lt;&gt;"""", NOT(ISNUMBER(D345))), AND(ISNUMBER(D345), OR(D345&lt;0.01, D345&gt;999999999)), AND(COUNTA(D345:F345, H345:N345)&gt;0, C345=""""),                  
  AND(COUNTA(C345, H345:N345)&gt;0, D345=""""), LEN("&amp;"H345)&gt;50, AND(I345&lt;&gt;"""", NOT(ISNUMBER(I345))), AND(ISNUMBER(I345), OR(I345&lt;0, I345&gt;99998)), AND(L345&lt;&gt;"""", NOT(REGEXMATCH(L345&amp;"""", ""^\d{8,14}$"")))), ""Erro"", """")"),"")</f>
      </c>
    </row>
    <row r="346" ht="15.75" customHeight="true">
      <c r="A346" s="33"/>
      <c r="B346" s="34" t="str">
        <f t="shared" si="1"/>
      </c>
      <c r="C346" s="35"/>
      <c r="D346" s="36"/>
      <c r="E346" s="37"/>
      <c r="F346" s="38"/>
      <c r="G346" s="39" t="str">
        <f t="shared" si="2"/>
      </c>
      <c r="H346" s="40"/>
      <c r="I346" s="41"/>
      <c r="J346" s="41"/>
      <c r="K346" s="41"/>
      <c r="L346" s="42"/>
      <c r="M346" s="43"/>
      <c r="N346" s="44"/>
      <c r="O346" s="45"/>
      <c r="P346" s="46" t="str">
        <f>IFERROR(__xludf.DUMMYFUNCTION("IF(OR(AND(C346&lt;&gt;"""", LEN(C346)&lt;3), LEN(C346)&gt;60, AND(D346&lt;&gt;"""", NOT(ISNUMBER(D346))), AND(ISNUMBER(D346), OR(D346&lt;0.01, D346&gt;999999999)), AND(COUNTA(D346:F346, H346:N346)&gt;0, C346=""""),                  
  AND(COUNTA(C346, H346:N346)&gt;0, D346=""""), LEN("&amp;"H346)&gt;50, AND(I346&lt;&gt;"""", NOT(ISNUMBER(I346))), AND(ISNUMBER(I346), OR(I346&lt;0, I346&gt;99998)), AND(L346&lt;&gt;"""", NOT(REGEXMATCH(L346&amp;"""", ""^\d{8,14}$"")))), ""Erro"", """")"),"")</f>
      </c>
    </row>
    <row r="347" ht="15.75" customHeight="true">
      <c r="A347" s="33"/>
      <c r="B347" s="34" t="str">
        <f t="shared" si="1"/>
      </c>
      <c r="C347" s="35"/>
      <c r="D347" s="36"/>
      <c r="E347" s="37"/>
      <c r="F347" s="38"/>
      <c r="G347" s="39" t="str">
        <f t="shared" si="2"/>
      </c>
      <c r="H347" s="40"/>
      <c r="I347" s="41"/>
      <c r="J347" s="41"/>
      <c r="K347" s="41"/>
      <c r="L347" s="42"/>
      <c r="M347" s="43"/>
      <c r="N347" s="44"/>
      <c r="O347" s="45"/>
      <c r="P347" s="46" t="str">
        <f>IFERROR(__xludf.DUMMYFUNCTION("IF(OR(AND(C347&lt;&gt;"""", LEN(C347)&lt;3), LEN(C347)&gt;60, AND(D347&lt;&gt;"""", NOT(ISNUMBER(D347))), AND(ISNUMBER(D347), OR(D347&lt;0.01, D347&gt;999999999)), AND(COUNTA(D347:F347, H347:N347)&gt;0, C347=""""),                  
  AND(COUNTA(C347, H347:N347)&gt;0, D347=""""), LEN("&amp;"H347)&gt;50, AND(I347&lt;&gt;"""", NOT(ISNUMBER(I347))), AND(ISNUMBER(I347), OR(I347&lt;0, I347&gt;99998)), AND(L347&lt;&gt;"""", NOT(REGEXMATCH(L347&amp;"""", ""^\d{8,14}$"")))), ""Erro"", """")"),"")</f>
      </c>
    </row>
    <row r="348" ht="15.75" customHeight="true">
      <c r="A348" s="33"/>
      <c r="B348" s="34" t="str">
        <f t="shared" si="1"/>
      </c>
      <c r="C348" s="35"/>
      <c r="D348" s="36"/>
      <c r="E348" s="37"/>
      <c r="F348" s="38"/>
      <c r="G348" s="39" t="str">
        <f t="shared" si="2"/>
      </c>
      <c r="H348" s="40"/>
      <c r="I348" s="41"/>
      <c r="J348" s="41"/>
      <c r="K348" s="41"/>
      <c r="L348" s="42"/>
      <c r="M348" s="43"/>
      <c r="N348" s="44"/>
      <c r="O348" s="45"/>
      <c r="P348" s="46" t="str">
        <f>IFERROR(__xludf.DUMMYFUNCTION("IF(OR(AND(C348&lt;&gt;"""", LEN(C348)&lt;3), LEN(C348)&gt;60, AND(D348&lt;&gt;"""", NOT(ISNUMBER(D348))), AND(ISNUMBER(D348), OR(D348&lt;0.01, D348&gt;999999999)), AND(COUNTA(D348:F348, H348:N348)&gt;0, C348=""""),                  
  AND(COUNTA(C348, H348:N348)&gt;0, D348=""""), LEN("&amp;"H348)&gt;50, AND(I348&lt;&gt;"""", NOT(ISNUMBER(I348))), AND(ISNUMBER(I348), OR(I348&lt;0, I348&gt;99998)), AND(L348&lt;&gt;"""", NOT(REGEXMATCH(L348&amp;"""", ""^\d{8,14}$"")))), ""Erro"", """")"),"")</f>
      </c>
    </row>
    <row r="349" ht="15.75" customHeight="true">
      <c r="A349" s="33"/>
      <c r="B349" s="34" t="str">
        <f t="shared" si="1"/>
      </c>
      <c r="C349" s="35"/>
      <c r="D349" s="36"/>
      <c r="E349" s="37"/>
      <c r="F349" s="38"/>
      <c r="G349" s="39" t="str">
        <f t="shared" si="2"/>
      </c>
      <c r="H349" s="40"/>
      <c r="I349" s="41"/>
      <c r="J349" s="41"/>
      <c r="K349" s="41"/>
      <c r="L349" s="42"/>
      <c r="M349" s="43"/>
      <c r="N349" s="44"/>
      <c r="O349" s="45"/>
      <c r="P349" s="46" t="str">
        <f>IFERROR(__xludf.DUMMYFUNCTION("IF(OR(AND(C349&lt;&gt;"""", LEN(C349)&lt;3), LEN(C349)&gt;60, AND(D349&lt;&gt;"""", NOT(ISNUMBER(D349))), AND(ISNUMBER(D349), OR(D349&lt;0.01, D349&gt;999999999)), AND(COUNTA(D349:F349, H349:N349)&gt;0, C349=""""),                  
  AND(COUNTA(C349, H349:N349)&gt;0, D349=""""), LEN("&amp;"H349)&gt;50, AND(I349&lt;&gt;"""", NOT(ISNUMBER(I349))), AND(ISNUMBER(I349), OR(I349&lt;0, I349&gt;99998)), AND(L349&lt;&gt;"""", NOT(REGEXMATCH(L349&amp;"""", ""^\d{8,14}$"")))), ""Erro"", """")"),"")</f>
      </c>
    </row>
    <row r="350" ht="15.75" customHeight="true">
      <c r="A350" s="33"/>
      <c r="B350" s="34" t="str">
        <f t="shared" si="1"/>
      </c>
      <c r="C350" s="35"/>
      <c r="D350" s="36"/>
      <c r="E350" s="37"/>
      <c r="F350" s="38"/>
      <c r="G350" s="39" t="str">
        <f t="shared" si="2"/>
      </c>
      <c r="H350" s="40"/>
      <c r="I350" s="41"/>
      <c r="J350" s="41"/>
      <c r="K350" s="41"/>
      <c r="L350" s="42"/>
      <c r="M350" s="43"/>
      <c r="N350" s="44"/>
      <c r="O350" s="45"/>
      <c r="P350" s="46" t="str">
        <f>IFERROR(__xludf.DUMMYFUNCTION("IF(OR(AND(C350&lt;&gt;"""", LEN(C350)&lt;3), LEN(C350)&gt;60, AND(D350&lt;&gt;"""", NOT(ISNUMBER(D350))), AND(ISNUMBER(D350), OR(D350&lt;0.01, D350&gt;999999999)), AND(COUNTA(D350:F350, H350:N350)&gt;0, C350=""""),                  
  AND(COUNTA(C350, H350:N350)&gt;0, D350=""""), LEN("&amp;"H350)&gt;50, AND(I350&lt;&gt;"""", NOT(ISNUMBER(I350))), AND(ISNUMBER(I350), OR(I350&lt;0, I350&gt;99998)), AND(L350&lt;&gt;"""", NOT(REGEXMATCH(L350&amp;"""", ""^\d{8,14}$"")))), ""Erro"", """")"),"")</f>
      </c>
    </row>
    <row r="351" ht="15.75" customHeight="true">
      <c r="A351" s="33"/>
      <c r="B351" s="34" t="str">
        <f t="shared" si="1"/>
      </c>
      <c r="C351" s="35"/>
      <c r="D351" s="36"/>
      <c r="E351" s="37"/>
      <c r="F351" s="38"/>
      <c r="G351" s="39" t="str">
        <f t="shared" si="2"/>
      </c>
      <c r="H351" s="40"/>
      <c r="I351" s="41"/>
      <c r="J351" s="41"/>
      <c r="K351" s="41"/>
      <c r="L351" s="42"/>
      <c r="M351" s="43"/>
      <c r="N351" s="44"/>
      <c r="O351" s="45"/>
      <c r="P351" s="46" t="str">
        <f>IFERROR(__xludf.DUMMYFUNCTION("IF(OR(AND(C351&lt;&gt;"""", LEN(C351)&lt;3), LEN(C351)&gt;60, AND(D351&lt;&gt;"""", NOT(ISNUMBER(D351))), AND(ISNUMBER(D351), OR(D351&lt;0.01, D351&gt;999999999)), AND(COUNTA(D351:F351, H351:N351)&gt;0, C351=""""),                  
  AND(COUNTA(C351, H351:N351)&gt;0, D351=""""), LEN("&amp;"H351)&gt;50, AND(I351&lt;&gt;"""", NOT(ISNUMBER(I351))), AND(ISNUMBER(I351), OR(I351&lt;0, I351&gt;99998)), AND(L351&lt;&gt;"""", NOT(REGEXMATCH(L351&amp;"""", ""^\d{8,14}$"")))), ""Erro"", """")"),"")</f>
      </c>
    </row>
    <row r="352" ht="15.75" customHeight="true">
      <c r="A352" s="33"/>
      <c r="B352" s="34" t="str">
        <f t="shared" si="1"/>
      </c>
      <c r="C352" s="35"/>
      <c r="D352" s="36"/>
      <c r="E352" s="37"/>
      <c r="F352" s="38"/>
      <c r="G352" s="39" t="str">
        <f t="shared" si="2"/>
      </c>
      <c r="H352" s="40"/>
      <c r="I352" s="41"/>
      <c r="J352" s="41"/>
      <c r="K352" s="41"/>
      <c r="L352" s="42"/>
      <c r="M352" s="43"/>
      <c r="N352" s="44"/>
      <c r="O352" s="45"/>
      <c r="P352" s="46" t="str">
        <f>IFERROR(__xludf.DUMMYFUNCTION("IF(OR(AND(C352&lt;&gt;"""", LEN(C352)&lt;3), LEN(C352)&gt;60, AND(D352&lt;&gt;"""", NOT(ISNUMBER(D352))), AND(ISNUMBER(D352), OR(D352&lt;0.01, D352&gt;999999999)), AND(COUNTA(D352:F352, H352:N352)&gt;0, C352=""""),                  
  AND(COUNTA(C352, H352:N352)&gt;0, D352=""""), LEN("&amp;"H352)&gt;50, AND(I352&lt;&gt;"""", NOT(ISNUMBER(I352))), AND(ISNUMBER(I352), OR(I352&lt;0, I352&gt;99998)), AND(L352&lt;&gt;"""", NOT(REGEXMATCH(L352&amp;"""", ""^\d{8,14}$"")))), ""Erro"", """")"),"")</f>
      </c>
    </row>
    <row r="353" ht="15.75" customHeight="true">
      <c r="A353" s="33"/>
      <c r="B353" s="34" t="str">
        <f t="shared" si="1"/>
      </c>
      <c r="C353" s="35"/>
      <c r="D353" s="36"/>
      <c r="E353" s="37"/>
      <c r="F353" s="38"/>
      <c r="G353" s="39" t="str">
        <f t="shared" si="2"/>
      </c>
      <c r="H353" s="40"/>
      <c r="I353" s="41"/>
      <c r="J353" s="41"/>
      <c r="K353" s="41"/>
      <c r="L353" s="42"/>
      <c r="M353" s="43"/>
      <c r="N353" s="44"/>
      <c r="O353" s="45"/>
      <c r="P353" s="46" t="str">
        <f>IFERROR(__xludf.DUMMYFUNCTION("IF(OR(AND(C353&lt;&gt;"""", LEN(C353)&lt;3), LEN(C353)&gt;60, AND(D353&lt;&gt;"""", NOT(ISNUMBER(D353))), AND(ISNUMBER(D353), OR(D353&lt;0.01, D353&gt;999999999)), AND(COUNTA(D353:F353, H353:N353)&gt;0, C353=""""),                  
  AND(COUNTA(C353, H353:N353)&gt;0, D353=""""), LEN("&amp;"H353)&gt;50, AND(I353&lt;&gt;"""", NOT(ISNUMBER(I353))), AND(ISNUMBER(I353), OR(I353&lt;0, I353&gt;99998)), AND(L353&lt;&gt;"""", NOT(REGEXMATCH(L353&amp;"""", ""^\d{8,14}$"")))), ""Erro"", """")"),"")</f>
      </c>
    </row>
    <row r="354" ht="15.75" customHeight="true">
      <c r="A354" s="33"/>
      <c r="B354" s="34" t="str">
        <f t="shared" si="1"/>
      </c>
      <c r="C354" s="35"/>
      <c r="D354" s="36"/>
      <c r="E354" s="37"/>
      <c r="F354" s="38"/>
      <c r="G354" s="39" t="str">
        <f t="shared" si="2"/>
      </c>
      <c r="H354" s="40"/>
      <c r="I354" s="41"/>
      <c r="J354" s="41"/>
      <c r="K354" s="41"/>
      <c r="L354" s="42"/>
      <c r="M354" s="43"/>
      <c r="N354" s="44"/>
      <c r="O354" s="45"/>
      <c r="P354" s="46" t="str">
        <f>IFERROR(__xludf.DUMMYFUNCTION("IF(OR(AND(C354&lt;&gt;"""", LEN(C354)&lt;3), LEN(C354)&gt;60, AND(D354&lt;&gt;"""", NOT(ISNUMBER(D354))), AND(ISNUMBER(D354), OR(D354&lt;0.01, D354&gt;999999999)), AND(COUNTA(D354:F354, H354:N354)&gt;0, C354=""""),                  
  AND(COUNTA(C354, H354:N354)&gt;0, D354=""""), LEN("&amp;"H354)&gt;50, AND(I354&lt;&gt;"""", NOT(ISNUMBER(I354))), AND(ISNUMBER(I354), OR(I354&lt;0, I354&gt;99998)), AND(L354&lt;&gt;"""", NOT(REGEXMATCH(L354&amp;"""", ""^\d{8,14}$"")))), ""Erro"", """")"),"")</f>
      </c>
    </row>
    <row r="355" ht="15.75" customHeight="true">
      <c r="A355" s="33"/>
      <c r="B355" s="34" t="str">
        <f t="shared" si="1"/>
      </c>
      <c r="C355" s="35"/>
      <c r="D355" s="36"/>
      <c r="E355" s="37"/>
      <c r="F355" s="38"/>
      <c r="G355" s="39" t="str">
        <f t="shared" si="2"/>
      </c>
      <c r="H355" s="40"/>
      <c r="I355" s="41"/>
      <c r="J355" s="41"/>
      <c r="K355" s="41"/>
      <c r="L355" s="42"/>
      <c r="M355" s="43"/>
      <c r="N355" s="44"/>
      <c r="O355" s="45"/>
      <c r="P355" s="46" t="str">
        <f>IFERROR(__xludf.DUMMYFUNCTION("IF(OR(AND(C355&lt;&gt;"""", LEN(C355)&lt;3), LEN(C355)&gt;60, AND(D355&lt;&gt;"""", NOT(ISNUMBER(D355))), AND(ISNUMBER(D355), OR(D355&lt;0.01, D355&gt;999999999)), AND(COUNTA(D355:F355, H355:N355)&gt;0, C355=""""),                  
  AND(COUNTA(C355, H355:N355)&gt;0, D355=""""), LEN("&amp;"H355)&gt;50, AND(I355&lt;&gt;"""", NOT(ISNUMBER(I355))), AND(ISNUMBER(I355), OR(I355&lt;0, I355&gt;99998)), AND(L355&lt;&gt;"""", NOT(REGEXMATCH(L355&amp;"""", ""^\d{8,14}$"")))), ""Erro"", """")"),"")</f>
      </c>
    </row>
    <row r="356" ht="15.75" customHeight="true">
      <c r="A356" s="33"/>
      <c r="B356" s="34" t="str">
        <f t="shared" si="1"/>
      </c>
      <c r="C356" s="35"/>
      <c r="D356" s="36"/>
      <c r="E356" s="37"/>
      <c r="F356" s="38"/>
      <c r="G356" s="39" t="str">
        <f t="shared" si="2"/>
      </c>
      <c r="H356" s="40"/>
      <c r="I356" s="41"/>
      <c r="J356" s="41"/>
      <c r="K356" s="41"/>
      <c r="L356" s="42"/>
      <c r="M356" s="43"/>
      <c r="N356" s="44"/>
      <c r="O356" s="45"/>
      <c r="P356" s="46" t="str">
        <f>IFERROR(__xludf.DUMMYFUNCTION("IF(OR(AND(C356&lt;&gt;"""", LEN(C356)&lt;3), LEN(C356)&gt;60, AND(D356&lt;&gt;"""", NOT(ISNUMBER(D356))), AND(ISNUMBER(D356), OR(D356&lt;0.01, D356&gt;999999999)), AND(COUNTA(D356:F356, H356:N356)&gt;0, C356=""""),                  
  AND(COUNTA(C356, H356:N356)&gt;0, D356=""""), LEN("&amp;"H356)&gt;50, AND(I356&lt;&gt;"""", NOT(ISNUMBER(I356))), AND(ISNUMBER(I356), OR(I356&lt;0, I356&gt;99998)), AND(L356&lt;&gt;"""", NOT(REGEXMATCH(L356&amp;"""", ""^\d{8,14}$"")))), ""Erro"", """")"),"")</f>
      </c>
    </row>
    <row r="357" ht="15.75" customHeight="true">
      <c r="A357" s="33"/>
      <c r="B357" s="34" t="str">
        <f t="shared" si="1"/>
      </c>
      <c r="C357" s="35"/>
      <c r="D357" s="36"/>
      <c r="E357" s="37"/>
      <c r="F357" s="38"/>
      <c r="G357" s="39" t="str">
        <f t="shared" si="2"/>
      </c>
      <c r="H357" s="40"/>
      <c r="I357" s="41"/>
      <c r="J357" s="41"/>
      <c r="K357" s="41"/>
      <c r="L357" s="42"/>
      <c r="M357" s="43"/>
      <c r="N357" s="44"/>
      <c r="O357" s="45"/>
      <c r="P357" s="46" t="str">
        <f>IFERROR(__xludf.DUMMYFUNCTION("IF(OR(AND(C357&lt;&gt;"""", LEN(C357)&lt;3), LEN(C357)&gt;60, AND(D357&lt;&gt;"""", NOT(ISNUMBER(D357))), AND(ISNUMBER(D357), OR(D357&lt;0.01, D357&gt;999999999)), AND(COUNTA(D357:F357, H357:N357)&gt;0, C357=""""),                  
  AND(COUNTA(C357, H357:N357)&gt;0, D357=""""), LEN("&amp;"H357)&gt;50, AND(I357&lt;&gt;"""", NOT(ISNUMBER(I357))), AND(ISNUMBER(I357), OR(I357&lt;0, I357&gt;99998)), AND(L357&lt;&gt;"""", NOT(REGEXMATCH(L357&amp;"""", ""^\d{8,14}$"")))), ""Erro"", """")"),"")</f>
      </c>
    </row>
    <row r="358" ht="15.75" customHeight="true">
      <c r="A358" s="33"/>
      <c r="B358" s="34" t="str">
        <f t="shared" si="1"/>
      </c>
      <c r="C358" s="35"/>
      <c r="D358" s="36"/>
      <c r="E358" s="37"/>
      <c r="F358" s="38"/>
      <c r="G358" s="39" t="str">
        <f t="shared" si="2"/>
      </c>
      <c r="H358" s="40"/>
      <c r="I358" s="41"/>
      <c r="J358" s="41"/>
      <c r="K358" s="41"/>
      <c r="L358" s="42"/>
      <c r="M358" s="43"/>
      <c r="N358" s="44"/>
      <c r="O358" s="45"/>
      <c r="P358" s="46" t="str">
        <f>IFERROR(__xludf.DUMMYFUNCTION("IF(OR(AND(C358&lt;&gt;"""", LEN(C358)&lt;3), LEN(C358)&gt;60, AND(D358&lt;&gt;"""", NOT(ISNUMBER(D358))), AND(ISNUMBER(D358), OR(D358&lt;0.01, D358&gt;999999999)), AND(COUNTA(D358:F358, H358:N358)&gt;0, C358=""""),                  
  AND(COUNTA(C358, H358:N358)&gt;0, D358=""""), LEN("&amp;"H358)&gt;50, AND(I358&lt;&gt;"""", NOT(ISNUMBER(I358))), AND(ISNUMBER(I358), OR(I358&lt;0, I358&gt;99998)), AND(L358&lt;&gt;"""", NOT(REGEXMATCH(L358&amp;"""", ""^\d{8,14}$"")))), ""Erro"", """")"),"")</f>
      </c>
    </row>
    <row r="359" ht="15.75" customHeight="true">
      <c r="A359" s="33"/>
      <c r="B359" s="34" t="str">
        <f t="shared" si="1"/>
      </c>
      <c r="C359" s="35"/>
      <c r="D359" s="36"/>
      <c r="E359" s="37"/>
      <c r="F359" s="38"/>
      <c r="G359" s="39" t="str">
        <f t="shared" si="2"/>
      </c>
      <c r="H359" s="40"/>
      <c r="I359" s="41"/>
      <c r="J359" s="41"/>
      <c r="K359" s="41"/>
      <c r="L359" s="42"/>
      <c r="M359" s="43"/>
      <c r="N359" s="44"/>
      <c r="O359" s="45"/>
      <c r="P359" s="46" t="str">
        <f>IFERROR(__xludf.DUMMYFUNCTION("IF(OR(AND(C359&lt;&gt;"""", LEN(C359)&lt;3), LEN(C359)&gt;60, AND(D359&lt;&gt;"""", NOT(ISNUMBER(D359))), AND(ISNUMBER(D359), OR(D359&lt;0.01, D359&gt;999999999)), AND(COUNTA(D359:F359, H359:N359)&gt;0, C359=""""),                  
  AND(COUNTA(C359, H359:N359)&gt;0, D359=""""), LEN("&amp;"H359)&gt;50, AND(I359&lt;&gt;"""", NOT(ISNUMBER(I359))), AND(ISNUMBER(I359), OR(I359&lt;0, I359&gt;99998)), AND(L359&lt;&gt;"""", NOT(REGEXMATCH(L359&amp;"""", ""^\d{8,14}$"")))), ""Erro"", """")"),"")</f>
      </c>
    </row>
    <row r="360" ht="15.75" customHeight="true">
      <c r="A360" s="33"/>
      <c r="B360" s="34" t="str">
        <f t="shared" si="1"/>
      </c>
      <c r="C360" s="35"/>
      <c r="D360" s="36"/>
      <c r="E360" s="37"/>
      <c r="F360" s="38"/>
      <c r="G360" s="39" t="str">
        <f t="shared" si="2"/>
      </c>
      <c r="H360" s="40"/>
      <c r="I360" s="41"/>
      <c r="J360" s="41"/>
      <c r="K360" s="41"/>
      <c r="L360" s="42"/>
      <c r="M360" s="43"/>
      <c r="N360" s="44"/>
      <c r="O360" s="45"/>
      <c r="P360" s="46" t="str">
        <f>IFERROR(__xludf.DUMMYFUNCTION("IF(OR(AND(C360&lt;&gt;"""", LEN(C360)&lt;3), LEN(C360)&gt;60, AND(D360&lt;&gt;"""", NOT(ISNUMBER(D360))), AND(ISNUMBER(D360), OR(D360&lt;0.01, D360&gt;999999999)), AND(COUNTA(D360:F360, H360:N360)&gt;0, C360=""""),                  
  AND(COUNTA(C360, H360:N360)&gt;0, D360=""""), LEN("&amp;"H360)&gt;50, AND(I360&lt;&gt;"""", NOT(ISNUMBER(I360))), AND(ISNUMBER(I360), OR(I360&lt;0, I360&gt;99998)), AND(L360&lt;&gt;"""", NOT(REGEXMATCH(L360&amp;"""", ""^\d{8,14}$"")))), ""Erro"", """")"),"")</f>
      </c>
    </row>
    <row r="361" ht="15.75" customHeight="true">
      <c r="A361" s="33"/>
      <c r="B361" s="34" t="str">
        <f t="shared" si="1"/>
      </c>
      <c r="C361" s="35"/>
      <c r="D361" s="36"/>
      <c r="E361" s="37"/>
      <c r="F361" s="38"/>
      <c r="G361" s="39" t="str">
        <f t="shared" si="2"/>
      </c>
      <c r="H361" s="40"/>
      <c r="I361" s="41"/>
      <c r="J361" s="41"/>
      <c r="K361" s="41"/>
      <c r="L361" s="42"/>
      <c r="M361" s="43"/>
      <c r="N361" s="44"/>
      <c r="O361" s="45"/>
      <c r="P361" s="46" t="str">
        <f>IFERROR(__xludf.DUMMYFUNCTION("IF(OR(AND(C361&lt;&gt;"""", LEN(C361)&lt;3), LEN(C361)&gt;60, AND(D361&lt;&gt;"""", NOT(ISNUMBER(D361))), AND(ISNUMBER(D361), OR(D361&lt;0.01, D361&gt;999999999)), AND(COUNTA(D361:F361, H361:N361)&gt;0, C361=""""),                  
  AND(COUNTA(C361, H361:N361)&gt;0, D361=""""), LEN("&amp;"H361)&gt;50, AND(I361&lt;&gt;"""", NOT(ISNUMBER(I361))), AND(ISNUMBER(I361), OR(I361&lt;0, I361&gt;99998)), AND(L361&lt;&gt;"""", NOT(REGEXMATCH(L361&amp;"""", ""^\d{8,14}$"")))), ""Erro"", """")"),"")</f>
      </c>
    </row>
    <row r="362" ht="15.75" customHeight="true">
      <c r="A362" s="33"/>
      <c r="B362" s="34" t="str">
        <f t="shared" si="1"/>
      </c>
      <c r="C362" s="35"/>
      <c r="D362" s="36"/>
      <c r="E362" s="37"/>
      <c r="F362" s="38"/>
      <c r="G362" s="39" t="str">
        <f t="shared" si="2"/>
      </c>
      <c r="H362" s="40"/>
      <c r="I362" s="41"/>
      <c r="J362" s="41"/>
      <c r="K362" s="41"/>
      <c r="L362" s="42"/>
      <c r="M362" s="43"/>
      <c r="N362" s="44"/>
      <c r="O362" s="45"/>
      <c r="P362" s="46" t="str">
        <f>IFERROR(__xludf.DUMMYFUNCTION("IF(OR(AND(C362&lt;&gt;"""", LEN(C362)&lt;3), LEN(C362)&gt;60, AND(D362&lt;&gt;"""", NOT(ISNUMBER(D362))), AND(ISNUMBER(D362), OR(D362&lt;0.01, D362&gt;999999999)), AND(COUNTA(D362:F362, H362:N362)&gt;0, C362=""""),                  
  AND(COUNTA(C362, H362:N362)&gt;0, D362=""""), LEN("&amp;"H362)&gt;50, AND(I362&lt;&gt;"""", NOT(ISNUMBER(I362))), AND(ISNUMBER(I362), OR(I362&lt;0, I362&gt;99998)), AND(L362&lt;&gt;"""", NOT(REGEXMATCH(L362&amp;"""", ""^\d{8,14}$"")))), ""Erro"", """")"),"")</f>
      </c>
    </row>
    <row r="363" ht="15.75" customHeight="true">
      <c r="A363" s="33"/>
      <c r="B363" s="34" t="str">
        <f t="shared" si="1"/>
      </c>
      <c r="C363" s="35"/>
      <c r="D363" s="36"/>
      <c r="E363" s="37"/>
      <c r="F363" s="38"/>
      <c r="G363" s="39" t="str">
        <f t="shared" si="2"/>
      </c>
      <c r="H363" s="40"/>
      <c r="I363" s="41"/>
      <c r="J363" s="41"/>
      <c r="K363" s="41"/>
      <c r="L363" s="42"/>
      <c r="M363" s="43"/>
      <c r="N363" s="44"/>
      <c r="O363" s="45"/>
      <c r="P363" s="46" t="str">
        <f>IFERROR(__xludf.DUMMYFUNCTION("IF(OR(AND(C363&lt;&gt;"""", LEN(C363)&lt;3), LEN(C363)&gt;60, AND(D363&lt;&gt;"""", NOT(ISNUMBER(D363))), AND(ISNUMBER(D363), OR(D363&lt;0.01, D363&gt;999999999)), AND(COUNTA(D363:F363, H363:N363)&gt;0, C363=""""),                  
  AND(COUNTA(C363, H363:N363)&gt;0, D363=""""), LEN("&amp;"H363)&gt;50, AND(I363&lt;&gt;"""", NOT(ISNUMBER(I363))), AND(ISNUMBER(I363), OR(I363&lt;0, I363&gt;99998)), AND(L363&lt;&gt;"""", NOT(REGEXMATCH(L363&amp;"""", ""^\d{8,14}$"")))), ""Erro"", """")"),"")</f>
      </c>
    </row>
    <row r="364" ht="15.75" customHeight="true">
      <c r="A364" s="33"/>
      <c r="B364" s="34" t="str">
        <f t="shared" si="1"/>
      </c>
      <c r="C364" s="35"/>
      <c r="D364" s="36"/>
      <c r="E364" s="37"/>
      <c r="F364" s="38"/>
      <c r="G364" s="39" t="str">
        <f t="shared" si="2"/>
      </c>
      <c r="H364" s="40"/>
      <c r="I364" s="41"/>
      <c r="J364" s="41"/>
      <c r="K364" s="41"/>
      <c r="L364" s="42"/>
      <c r="M364" s="43"/>
      <c r="N364" s="44"/>
      <c r="O364" s="45"/>
      <c r="P364" s="46" t="str">
        <f>IFERROR(__xludf.DUMMYFUNCTION("IF(OR(AND(C364&lt;&gt;"""", LEN(C364)&lt;3), LEN(C364)&gt;60, AND(D364&lt;&gt;"""", NOT(ISNUMBER(D364))), AND(ISNUMBER(D364), OR(D364&lt;0.01, D364&gt;999999999)), AND(COUNTA(D364:F364, H364:N364)&gt;0, C364=""""),                  
  AND(COUNTA(C364, H364:N364)&gt;0, D364=""""), LEN("&amp;"H364)&gt;50, AND(I364&lt;&gt;"""", NOT(ISNUMBER(I364))), AND(ISNUMBER(I364), OR(I364&lt;0, I364&gt;99998)), AND(L364&lt;&gt;"""", NOT(REGEXMATCH(L364&amp;"""", ""^\d{8,14}$"")))), ""Erro"", """")"),"")</f>
      </c>
    </row>
    <row r="365" ht="15.75" customHeight="true">
      <c r="A365" s="33"/>
      <c r="B365" s="34" t="str">
        <f t="shared" si="1"/>
      </c>
      <c r="C365" s="35"/>
      <c r="D365" s="36"/>
      <c r="E365" s="37"/>
      <c r="F365" s="38"/>
      <c r="G365" s="39" t="str">
        <f t="shared" si="2"/>
      </c>
      <c r="H365" s="40"/>
      <c r="I365" s="41"/>
      <c r="J365" s="41"/>
      <c r="K365" s="41"/>
      <c r="L365" s="42"/>
      <c r="M365" s="43"/>
      <c r="N365" s="44"/>
      <c r="O365" s="45"/>
      <c r="P365" s="46" t="str">
        <f>IFERROR(__xludf.DUMMYFUNCTION("IF(OR(AND(C365&lt;&gt;"""", LEN(C365)&lt;3), LEN(C365)&gt;60, AND(D365&lt;&gt;"""", NOT(ISNUMBER(D365))), AND(ISNUMBER(D365), OR(D365&lt;0.01, D365&gt;999999999)), AND(COUNTA(D365:F365, H365:N365)&gt;0, C365=""""),                  
  AND(COUNTA(C365, H365:N365)&gt;0, D365=""""), LEN("&amp;"H365)&gt;50, AND(I365&lt;&gt;"""", NOT(ISNUMBER(I365))), AND(ISNUMBER(I365), OR(I365&lt;0, I365&gt;99998)), AND(L365&lt;&gt;"""", NOT(REGEXMATCH(L365&amp;"""", ""^\d{8,14}$"")))), ""Erro"", """")"),"")</f>
      </c>
    </row>
    <row r="366" ht="15.75" customHeight="true">
      <c r="A366" s="33"/>
      <c r="B366" s="34" t="str">
        <f t="shared" si="1"/>
      </c>
      <c r="C366" s="35"/>
      <c r="D366" s="36"/>
      <c r="E366" s="37"/>
      <c r="F366" s="38"/>
      <c r="G366" s="39" t="str">
        <f t="shared" si="2"/>
      </c>
      <c r="H366" s="40"/>
      <c r="I366" s="41"/>
      <c r="J366" s="41"/>
      <c r="K366" s="41"/>
      <c r="L366" s="42"/>
      <c r="M366" s="43"/>
      <c r="N366" s="44"/>
      <c r="O366" s="45"/>
      <c r="P366" s="46" t="str">
        <f>IFERROR(__xludf.DUMMYFUNCTION("IF(OR(AND(C366&lt;&gt;"""", LEN(C366)&lt;3), LEN(C366)&gt;60, AND(D366&lt;&gt;"""", NOT(ISNUMBER(D366))), AND(ISNUMBER(D366), OR(D366&lt;0.01, D366&gt;999999999)), AND(COUNTA(D366:F366, H366:N366)&gt;0, C366=""""),                  
  AND(COUNTA(C366, H366:N366)&gt;0, D366=""""), LEN("&amp;"H366)&gt;50, AND(I366&lt;&gt;"""", NOT(ISNUMBER(I366))), AND(ISNUMBER(I366), OR(I366&lt;0, I366&gt;99998)), AND(L366&lt;&gt;"""", NOT(REGEXMATCH(L366&amp;"""", ""^\d{8,14}$"")))), ""Erro"", """")"),"")</f>
      </c>
    </row>
    <row r="367" ht="15.75" customHeight="true">
      <c r="A367" s="33"/>
      <c r="B367" s="34" t="str">
        <f t="shared" si="1"/>
      </c>
      <c r="C367" s="35"/>
      <c r="D367" s="36"/>
      <c r="E367" s="37"/>
      <c r="F367" s="38"/>
      <c r="G367" s="39" t="str">
        <f t="shared" si="2"/>
      </c>
      <c r="H367" s="40"/>
      <c r="I367" s="41"/>
      <c r="J367" s="41"/>
      <c r="K367" s="41"/>
      <c r="L367" s="42"/>
      <c r="M367" s="43"/>
      <c r="N367" s="44"/>
      <c r="O367" s="45"/>
      <c r="P367" s="46" t="str">
        <f>IFERROR(__xludf.DUMMYFUNCTION("IF(OR(AND(C367&lt;&gt;"""", LEN(C367)&lt;3), LEN(C367)&gt;60, AND(D367&lt;&gt;"""", NOT(ISNUMBER(D367))), AND(ISNUMBER(D367), OR(D367&lt;0.01, D367&gt;999999999)), AND(COUNTA(D367:F367, H367:N367)&gt;0, C367=""""),                  
  AND(COUNTA(C367, H367:N367)&gt;0, D367=""""), LEN("&amp;"H367)&gt;50, AND(I367&lt;&gt;"""", NOT(ISNUMBER(I367))), AND(ISNUMBER(I367), OR(I367&lt;0, I367&gt;99998)), AND(L367&lt;&gt;"""", NOT(REGEXMATCH(L367&amp;"""", ""^\d{8,14}$"")))), ""Erro"", """")"),"")</f>
      </c>
    </row>
    <row r="368" ht="15.75" customHeight="true">
      <c r="A368" s="33"/>
      <c r="B368" s="34" t="str">
        <f t="shared" si="1"/>
      </c>
      <c r="C368" s="35"/>
      <c r="D368" s="36"/>
      <c r="E368" s="37"/>
      <c r="F368" s="38"/>
      <c r="G368" s="39" t="str">
        <f t="shared" si="2"/>
      </c>
      <c r="H368" s="40"/>
      <c r="I368" s="41"/>
      <c r="J368" s="41"/>
      <c r="K368" s="41"/>
      <c r="L368" s="42"/>
      <c r="M368" s="43"/>
      <c r="N368" s="44"/>
      <c r="O368" s="45"/>
      <c r="P368" s="46" t="str">
        <f>IFERROR(__xludf.DUMMYFUNCTION("IF(OR(AND(C368&lt;&gt;"""", LEN(C368)&lt;3), LEN(C368)&gt;60, AND(D368&lt;&gt;"""", NOT(ISNUMBER(D368))), AND(ISNUMBER(D368), OR(D368&lt;0.01, D368&gt;999999999)), AND(COUNTA(D368:F368, H368:N368)&gt;0, C368=""""),                  
  AND(COUNTA(C368, H368:N368)&gt;0, D368=""""), LEN("&amp;"H368)&gt;50, AND(I368&lt;&gt;"""", NOT(ISNUMBER(I368))), AND(ISNUMBER(I368), OR(I368&lt;0, I368&gt;99998)), AND(L368&lt;&gt;"""", NOT(REGEXMATCH(L368&amp;"""", ""^\d{8,14}$"")))), ""Erro"", """")"),"")</f>
      </c>
    </row>
    <row r="369" ht="15.75" customHeight="true">
      <c r="A369" s="33"/>
      <c r="B369" s="34" t="str">
        <f t="shared" si="1"/>
      </c>
      <c r="C369" s="35"/>
      <c r="D369" s="36"/>
      <c r="E369" s="37"/>
      <c r="F369" s="38"/>
      <c r="G369" s="39" t="str">
        <f t="shared" si="2"/>
      </c>
      <c r="H369" s="40"/>
      <c r="I369" s="41"/>
      <c r="J369" s="41"/>
      <c r="K369" s="41"/>
      <c r="L369" s="42"/>
      <c r="M369" s="43"/>
      <c r="N369" s="44"/>
      <c r="O369" s="45"/>
      <c r="P369" s="46" t="str">
        <f>IFERROR(__xludf.DUMMYFUNCTION("IF(OR(AND(C369&lt;&gt;"""", LEN(C369)&lt;3), LEN(C369)&gt;60, AND(D369&lt;&gt;"""", NOT(ISNUMBER(D369))), AND(ISNUMBER(D369), OR(D369&lt;0.01, D369&gt;999999999)), AND(COUNTA(D369:F369, H369:N369)&gt;0, C369=""""),                  
  AND(COUNTA(C369, H369:N369)&gt;0, D369=""""), LEN("&amp;"H369)&gt;50, AND(I369&lt;&gt;"""", NOT(ISNUMBER(I369))), AND(ISNUMBER(I369), OR(I369&lt;0, I369&gt;99998)), AND(L369&lt;&gt;"""", NOT(REGEXMATCH(L369&amp;"""", ""^\d{8,14}$"")))), ""Erro"", """")"),"")</f>
      </c>
    </row>
    <row r="370" ht="15.75" customHeight="true">
      <c r="A370" s="33"/>
      <c r="B370" s="34" t="str">
        <f t="shared" si="1"/>
      </c>
      <c r="C370" s="35"/>
      <c r="D370" s="36"/>
      <c r="E370" s="37"/>
      <c r="F370" s="38"/>
      <c r="G370" s="39" t="str">
        <f t="shared" si="2"/>
      </c>
      <c r="H370" s="40"/>
      <c r="I370" s="41"/>
      <c r="J370" s="41"/>
      <c r="K370" s="41"/>
      <c r="L370" s="42"/>
      <c r="M370" s="43"/>
      <c r="N370" s="44"/>
      <c r="O370" s="45"/>
      <c r="P370" s="46" t="str">
        <f>IFERROR(__xludf.DUMMYFUNCTION("IF(OR(AND(C370&lt;&gt;"""", LEN(C370)&lt;3), LEN(C370)&gt;60, AND(D370&lt;&gt;"""", NOT(ISNUMBER(D370))), AND(ISNUMBER(D370), OR(D370&lt;0.01, D370&gt;999999999)), AND(COUNTA(D370:F370, H370:N370)&gt;0, C370=""""),                  
  AND(COUNTA(C370, H370:N370)&gt;0, D370=""""), LEN("&amp;"H370)&gt;50, AND(I370&lt;&gt;"""", NOT(ISNUMBER(I370))), AND(ISNUMBER(I370), OR(I370&lt;0, I370&gt;99998)), AND(L370&lt;&gt;"""", NOT(REGEXMATCH(L370&amp;"""", ""^\d{8,14}$"")))), ""Erro"", """")"),"")</f>
      </c>
    </row>
    <row r="371" ht="15.75" customHeight="true">
      <c r="A371" s="33"/>
      <c r="B371" s="34" t="str">
        <f t="shared" si="1"/>
      </c>
      <c r="C371" s="35"/>
      <c r="D371" s="36"/>
      <c r="E371" s="37"/>
      <c r="F371" s="38"/>
      <c r="G371" s="39" t="str">
        <f t="shared" si="2"/>
      </c>
      <c r="H371" s="40"/>
      <c r="I371" s="41"/>
      <c r="J371" s="41"/>
      <c r="K371" s="41"/>
      <c r="L371" s="42"/>
      <c r="M371" s="43"/>
      <c r="N371" s="44"/>
      <c r="O371" s="45"/>
      <c r="P371" s="46" t="str">
        <f>IFERROR(__xludf.DUMMYFUNCTION("IF(OR(AND(C371&lt;&gt;"""", LEN(C371)&lt;3), LEN(C371)&gt;60, AND(D371&lt;&gt;"""", NOT(ISNUMBER(D371))), AND(ISNUMBER(D371), OR(D371&lt;0.01, D371&gt;999999999)), AND(COUNTA(D371:F371, H371:N371)&gt;0, C371=""""),                  
  AND(COUNTA(C371, H371:N371)&gt;0, D371=""""), LEN("&amp;"H371)&gt;50, AND(I371&lt;&gt;"""", NOT(ISNUMBER(I371))), AND(ISNUMBER(I371), OR(I371&lt;0, I371&gt;99998)), AND(L371&lt;&gt;"""", NOT(REGEXMATCH(L371&amp;"""", ""^\d{8,14}$"")))), ""Erro"", """")"),"")</f>
      </c>
    </row>
    <row r="372" ht="15.75" customHeight="true">
      <c r="A372" s="33"/>
      <c r="B372" s="34" t="str">
        <f t="shared" si="1"/>
      </c>
      <c r="C372" s="35"/>
      <c r="D372" s="36"/>
      <c r="E372" s="37"/>
      <c r="F372" s="38"/>
      <c r="G372" s="39" t="str">
        <f t="shared" si="2"/>
      </c>
      <c r="H372" s="40"/>
      <c r="I372" s="41"/>
      <c r="J372" s="41"/>
      <c r="K372" s="41"/>
      <c r="L372" s="42"/>
      <c r="M372" s="43"/>
      <c r="N372" s="44"/>
      <c r="O372" s="45"/>
      <c r="P372" s="46" t="str">
        <f>IFERROR(__xludf.DUMMYFUNCTION("IF(OR(AND(C372&lt;&gt;"""", LEN(C372)&lt;3), LEN(C372)&gt;60, AND(D372&lt;&gt;"""", NOT(ISNUMBER(D372))), AND(ISNUMBER(D372), OR(D372&lt;0.01, D372&gt;999999999)), AND(COUNTA(D372:F372, H372:N372)&gt;0, C372=""""),                  
  AND(COUNTA(C372, H372:N372)&gt;0, D372=""""), LEN("&amp;"H372)&gt;50, AND(I372&lt;&gt;"""", NOT(ISNUMBER(I372))), AND(ISNUMBER(I372), OR(I372&lt;0, I372&gt;99998)), AND(L372&lt;&gt;"""", NOT(REGEXMATCH(L372&amp;"""", ""^\d{8,14}$"")))), ""Erro"", """")"),"")</f>
      </c>
    </row>
    <row r="373" ht="15.75" customHeight="true">
      <c r="A373" s="33"/>
      <c r="B373" s="34" t="str">
        <f t="shared" si="1"/>
      </c>
      <c r="C373" s="35"/>
      <c r="D373" s="36"/>
      <c r="E373" s="37"/>
      <c r="F373" s="38"/>
      <c r="G373" s="39" t="str">
        <f t="shared" si="2"/>
      </c>
      <c r="H373" s="40"/>
      <c r="I373" s="41"/>
      <c r="J373" s="41"/>
      <c r="K373" s="41"/>
      <c r="L373" s="42"/>
      <c r="M373" s="43"/>
      <c r="N373" s="44"/>
      <c r="O373" s="45"/>
      <c r="P373" s="46" t="str">
        <f>IFERROR(__xludf.DUMMYFUNCTION("IF(OR(AND(C373&lt;&gt;"""", LEN(C373)&lt;3), LEN(C373)&gt;60, AND(D373&lt;&gt;"""", NOT(ISNUMBER(D373))), AND(ISNUMBER(D373), OR(D373&lt;0.01, D373&gt;999999999)), AND(COUNTA(D373:F373, H373:N373)&gt;0, C373=""""),                  
  AND(COUNTA(C373, H373:N373)&gt;0, D373=""""), LEN("&amp;"H373)&gt;50, AND(I373&lt;&gt;"""", NOT(ISNUMBER(I373))), AND(ISNUMBER(I373), OR(I373&lt;0, I373&gt;99998)), AND(L373&lt;&gt;"""", NOT(REGEXMATCH(L373&amp;"""", ""^\d{8,14}$"")))), ""Erro"", """")"),"")</f>
      </c>
    </row>
    <row r="374" ht="15.75" customHeight="true">
      <c r="A374" s="33"/>
      <c r="B374" s="34" t="str">
        <f t="shared" si="1"/>
      </c>
      <c r="C374" s="35"/>
      <c r="D374" s="36"/>
      <c r="E374" s="37"/>
      <c r="F374" s="38"/>
      <c r="G374" s="39" t="str">
        <f t="shared" si="2"/>
      </c>
      <c r="H374" s="40"/>
      <c r="I374" s="41"/>
      <c r="J374" s="41"/>
      <c r="K374" s="41"/>
      <c r="L374" s="42"/>
      <c r="M374" s="43"/>
      <c r="N374" s="44"/>
      <c r="O374" s="45"/>
      <c r="P374" s="46" t="str">
        <f>IFERROR(__xludf.DUMMYFUNCTION("IF(OR(AND(C374&lt;&gt;"""", LEN(C374)&lt;3), LEN(C374)&gt;60, AND(D374&lt;&gt;"""", NOT(ISNUMBER(D374))), AND(ISNUMBER(D374), OR(D374&lt;0.01, D374&gt;999999999)), AND(COUNTA(D374:F374, H374:N374)&gt;0, C374=""""),                  
  AND(COUNTA(C374, H374:N374)&gt;0, D374=""""), LEN("&amp;"H374)&gt;50, AND(I374&lt;&gt;"""", NOT(ISNUMBER(I374))), AND(ISNUMBER(I374), OR(I374&lt;0, I374&gt;99998)), AND(L374&lt;&gt;"""", NOT(REGEXMATCH(L374&amp;"""", ""^\d{8,14}$"")))), ""Erro"", """")"),"")</f>
      </c>
    </row>
    <row r="375" ht="15.75" customHeight="true">
      <c r="A375" s="33"/>
      <c r="B375" s="34" t="str">
        <f t="shared" si="1"/>
      </c>
      <c r="C375" s="35"/>
      <c r="D375" s="36"/>
      <c r="E375" s="37"/>
      <c r="F375" s="38"/>
      <c r="G375" s="39" t="str">
        <f t="shared" si="2"/>
      </c>
      <c r="H375" s="40"/>
      <c r="I375" s="41"/>
      <c r="J375" s="41"/>
      <c r="K375" s="41"/>
      <c r="L375" s="42"/>
      <c r="M375" s="43"/>
      <c r="N375" s="44"/>
      <c r="O375" s="45"/>
      <c r="P375" s="46" t="str">
        <f>IFERROR(__xludf.DUMMYFUNCTION("IF(OR(AND(C375&lt;&gt;"""", LEN(C375)&lt;3), LEN(C375)&gt;60, AND(D375&lt;&gt;"""", NOT(ISNUMBER(D375))), AND(ISNUMBER(D375), OR(D375&lt;0.01, D375&gt;999999999)), AND(COUNTA(D375:F375, H375:N375)&gt;0, C375=""""),                  
  AND(COUNTA(C375, H375:N375)&gt;0, D375=""""), LEN("&amp;"H375)&gt;50, AND(I375&lt;&gt;"""", NOT(ISNUMBER(I375))), AND(ISNUMBER(I375), OR(I375&lt;0, I375&gt;99998)), AND(L375&lt;&gt;"""", NOT(REGEXMATCH(L375&amp;"""", ""^\d{8,14}$"")))), ""Erro"", """")"),"")</f>
      </c>
    </row>
    <row r="376" ht="15.75" customHeight="true">
      <c r="A376" s="33"/>
      <c r="B376" s="34" t="str">
        <f t="shared" si="1"/>
      </c>
      <c r="C376" s="35"/>
      <c r="D376" s="36"/>
      <c r="E376" s="37"/>
      <c r="F376" s="38"/>
      <c r="G376" s="39" t="str">
        <f t="shared" si="2"/>
      </c>
      <c r="H376" s="40"/>
      <c r="I376" s="41"/>
      <c r="J376" s="41"/>
      <c r="K376" s="41"/>
      <c r="L376" s="42"/>
      <c r="M376" s="43"/>
      <c r="N376" s="44"/>
      <c r="O376" s="45"/>
      <c r="P376" s="46" t="str">
        <f>IFERROR(__xludf.DUMMYFUNCTION("IF(OR(AND(C376&lt;&gt;"""", LEN(C376)&lt;3), LEN(C376)&gt;60, AND(D376&lt;&gt;"""", NOT(ISNUMBER(D376))), AND(ISNUMBER(D376), OR(D376&lt;0.01, D376&gt;999999999)), AND(COUNTA(D376:F376, H376:N376)&gt;0, C376=""""),                  
  AND(COUNTA(C376, H376:N376)&gt;0, D376=""""), LEN("&amp;"H376)&gt;50, AND(I376&lt;&gt;"""", NOT(ISNUMBER(I376))), AND(ISNUMBER(I376), OR(I376&lt;0, I376&gt;99998)), AND(L376&lt;&gt;"""", NOT(REGEXMATCH(L376&amp;"""", ""^\d{8,14}$"")))), ""Erro"", """")"),"")</f>
      </c>
    </row>
    <row r="377" ht="15.75" customHeight="true">
      <c r="A377" s="33"/>
      <c r="B377" s="34" t="str">
        <f t="shared" si="1"/>
      </c>
      <c r="C377" s="35"/>
      <c r="D377" s="36"/>
      <c r="E377" s="37"/>
      <c r="F377" s="38"/>
      <c r="G377" s="39" t="str">
        <f t="shared" si="2"/>
      </c>
      <c r="H377" s="40"/>
      <c r="I377" s="41"/>
      <c r="J377" s="41"/>
      <c r="K377" s="41"/>
      <c r="L377" s="42"/>
      <c r="M377" s="43"/>
      <c r="N377" s="44"/>
      <c r="O377" s="45"/>
      <c r="P377" s="46" t="str">
        <f>IFERROR(__xludf.DUMMYFUNCTION("IF(OR(AND(C377&lt;&gt;"""", LEN(C377)&lt;3), LEN(C377)&gt;60, AND(D377&lt;&gt;"""", NOT(ISNUMBER(D377))), AND(ISNUMBER(D377), OR(D377&lt;0.01, D377&gt;999999999)), AND(COUNTA(D377:F377, H377:N377)&gt;0, C377=""""),                  
  AND(COUNTA(C377, H377:N377)&gt;0, D377=""""), LEN("&amp;"H377)&gt;50, AND(I377&lt;&gt;"""", NOT(ISNUMBER(I377))), AND(ISNUMBER(I377), OR(I377&lt;0, I377&gt;99998)), AND(L377&lt;&gt;"""", NOT(REGEXMATCH(L377&amp;"""", ""^\d{8,14}$"")))), ""Erro"", """")"),"")</f>
      </c>
    </row>
    <row r="378" ht="15.75" customHeight="true">
      <c r="A378" s="33"/>
      <c r="B378" s="34" t="str">
        <f t="shared" si="1"/>
      </c>
      <c r="C378" s="35"/>
      <c r="D378" s="36"/>
      <c r="E378" s="37"/>
      <c r="F378" s="38"/>
      <c r="G378" s="39" t="str">
        <f t="shared" si="2"/>
      </c>
      <c r="H378" s="40"/>
      <c r="I378" s="41"/>
      <c r="J378" s="41"/>
      <c r="K378" s="41"/>
      <c r="L378" s="42"/>
      <c r="M378" s="43"/>
      <c r="N378" s="44"/>
      <c r="O378" s="45"/>
      <c r="P378" s="46" t="str">
        <f>IFERROR(__xludf.DUMMYFUNCTION("IF(OR(AND(C378&lt;&gt;"""", LEN(C378)&lt;3), LEN(C378)&gt;60, AND(D378&lt;&gt;"""", NOT(ISNUMBER(D378))), AND(ISNUMBER(D378), OR(D378&lt;0.01, D378&gt;999999999)), AND(COUNTA(D378:F378, H378:N378)&gt;0, C378=""""),                  
  AND(COUNTA(C378, H378:N378)&gt;0, D378=""""), LEN("&amp;"H378)&gt;50, AND(I378&lt;&gt;"""", NOT(ISNUMBER(I378))), AND(ISNUMBER(I378), OR(I378&lt;0, I378&gt;99998)), AND(L378&lt;&gt;"""", NOT(REGEXMATCH(L378&amp;"""", ""^\d{8,14}$"")))), ""Erro"", """")"),"")</f>
      </c>
    </row>
    <row r="379" ht="15.75" customHeight="true">
      <c r="A379" s="33"/>
      <c r="B379" s="34" t="str">
        <f t="shared" si="1"/>
      </c>
      <c r="C379" s="35"/>
      <c r="D379" s="36"/>
      <c r="E379" s="37"/>
      <c r="F379" s="38"/>
      <c r="G379" s="39" t="str">
        <f t="shared" si="2"/>
      </c>
      <c r="H379" s="40"/>
      <c r="I379" s="41"/>
      <c r="J379" s="41"/>
      <c r="K379" s="41"/>
      <c r="L379" s="42"/>
      <c r="M379" s="43"/>
      <c r="N379" s="44"/>
      <c r="O379" s="45"/>
      <c r="P379" s="46" t="str">
        <f>IFERROR(__xludf.DUMMYFUNCTION("IF(OR(AND(C379&lt;&gt;"""", LEN(C379)&lt;3), LEN(C379)&gt;60, AND(D379&lt;&gt;"""", NOT(ISNUMBER(D379))), AND(ISNUMBER(D379), OR(D379&lt;0.01, D379&gt;999999999)), AND(COUNTA(D379:F379, H379:N379)&gt;0, C379=""""),                  
  AND(COUNTA(C379, H379:N379)&gt;0, D379=""""), LEN("&amp;"H379)&gt;50, AND(I379&lt;&gt;"""", NOT(ISNUMBER(I379))), AND(ISNUMBER(I379), OR(I379&lt;0, I379&gt;99998)), AND(L379&lt;&gt;"""", NOT(REGEXMATCH(L379&amp;"""", ""^\d{8,14}$"")))), ""Erro"", """")"),"")</f>
      </c>
    </row>
    <row r="380" ht="15.75" customHeight="true">
      <c r="A380" s="33"/>
      <c r="B380" s="34" t="str">
        <f t="shared" si="1"/>
      </c>
      <c r="C380" s="35"/>
      <c r="D380" s="36"/>
      <c r="E380" s="37"/>
      <c r="F380" s="38"/>
      <c r="G380" s="39" t="str">
        <f t="shared" si="2"/>
      </c>
      <c r="H380" s="40"/>
      <c r="I380" s="41"/>
      <c r="J380" s="41"/>
      <c r="K380" s="41"/>
      <c r="L380" s="42"/>
      <c r="M380" s="43"/>
      <c r="N380" s="44"/>
      <c r="O380" s="45"/>
      <c r="P380" s="46" t="str">
        <f>IFERROR(__xludf.DUMMYFUNCTION("IF(OR(AND(C380&lt;&gt;"""", LEN(C380)&lt;3), LEN(C380)&gt;60, AND(D380&lt;&gt;"""", NOT(ISNUMBER(D380))), AND(ISNUMBER(D380), OR(D380&lt;0.01, D380&gt;999999999)), AND(COUNTA(D380:F380, H380:N380)&gt;0, C380=""""),                  
  AND(COUNTA(C380, H380:N380)&gt;0, D380=""""), LEN("&amp;"H380)&gt;50, AND(I380&lt;&gt;"""", NOT(ISNUMBER(I380))), AND(ISNUMBER(I380), OR(I380&lt;0, I380&gt;99998)), AND(L380&lt;&gt;"""", NOT(REGEXMATCH(L380&amp;"""", ""^\d{8,14}$"")))), ""Erro"", """")"),"")</f>
      </c>
    </row>
    <row r="381" ht="15.75" customHeight="true">
      <c r="A381" s="33"/>
      <c r="B381" s="34" t="str">
        <f t="shared" si="1"/>
      </c>
      <c r="C381" s="35"/>
      <c r="D381" s="36"/>
      <c r="E381" s="37"/>
      <c r="F381" s="38"/>
      <c r="G381" s="39" t="str">
        <f t="shared" si="2"/>
      </c>
      <c r="H381" s="40"/>
      <c r="I381" s="41"/>
      <c r="J381" s="41"/>
      <c r="K381" s="41"/>
      <c r="L381" s="42"/>
      <c r="M381" s="43"/>
      <c r="N381" s="44"/>
      <c r="O381" s="45"/>
      <c r="P381" s="46" t="str">
        <f>IFERROR(__xludf.DUMMYFUNCTION("IF(OR(AND(C381&lt;&gt;"""", LEN(C381)&lt;3), LEN(C381)&gt;60, AND(D381&lt;&gt;"""", NOT(ISNUMBER(D381))), AND(ISNUMBER(D381), OR(D381&lt;0.01, D381&gt;999999999)), AND(COUNTA(D381:F381, H381:N381)&gt;0, C381=""""),                  
  AND(COUNTA(C381, H381:N381)&gt;0, D381=""""), LEN("&amp;"H381)&gt;50, AND(I381&lt;&gt;"""", NOT(ISNUMBER(I381))), AND(ISNUMBER(I381), OR(I381&lt;0, I381&gt;99998)), AND(L381&lt;&gt;"""", NOT(REGEXMATCH(L381&amp;"""", ""^\d{8,14}$"")))), ""Erro"", """")"),"")</f>
      </c>
    </row>
    <row r="382" ht="15.75" customHeight="true">
      <c r="A382" s="33"/>
      <c r="B382" s="34" t="str">
        <f t="shared" si="1"/>
      </c>
      <c r="C382" s="35"/>
      <c r="D382" s="36"/>
      <c r="E382" s="37"/>
      <c r="F382" s="38"/>
      <c r="G382" s="39" t="str">
        <f t="shared" si="2"/>
      </c>
      <c r="H382" s="40"/>
      <c r="I382" s="41"/>
      <c r="J382" s="41"/>
      <c r="K382" s="41"/>
      <c r="L382" s="42"/>
      <c r="M382" s="43"/>
      <c r="N382" s="44"/>
      <c r="O382" s="45"/>
      <c r="P382" s="46" t="str">
        <f>IFERROR(__xludf.DUMMYFUNCTION("IF(OR(AND(C382&lt;&gt;"""", LEN(C382)&lt;3), LEN(C382)&gt;60, AND(D382&lt;&gt;"""", NOT(ISNUMBER(D382))), AND(ISNUMBER(D382), OR(D382&lt;0.01, D382&gt;999999999)), AND(COUNTA(D382:F382, H382:N382)&gt;0, C382=""""),                  
  AND(COUNTA(C382, H382:N382)&gt;0, D382=""""), LEN("&amp;"H382)&gt;50, AND(I382&lt;&gt;"""", NOT(ISNUMBER(I382))), AND(ISNUMBER(I382), OR(I382&lt;0, I382&gt;99998)), AND(L382&lt;&gt;"""", NOT(REGEXMATCH(L382&amp;"""", ""^\d{8,14}$"")))), ""Erro"", """")"),"")</f>
      </c>
    </row>
    <row r="383" ht="15.75" customHeight="true">
      <c r="A383" s="33"/>
      <c r="B383" s="34" t="str">
        <f t="shared" si="1"/>
      </c>
      <c r="C383" s="35"/>
      <c r="D383" s="36"/>
      <c r="E383" s="37"/>
      <c r="F383" s="38"/>
      <c r="G383" s="39" t="str">
        <f t="shared" si="2"/>
      </c>
      <c r="H383" s="40"/>
      <c r="I383" s="41"/>
      <c r="J383" s="41"/>
      <c r="K383" s="41"/>
      <c r="L383" s="42"/>
      <c r="M383" s="43"/>
      <c r="N383" s="44"/>
      <c r="O383" s="45"/>
      <c r="P383" s="46" t="str">
        <f>IFERROR(__xludf.DUMMYFUNCTION("IF(OR(AND(C383&lt;&gt;"""", LEN(C383)&lt;3), LEN(C383)&gt;60, AND(D383&lt;&gt;"""", NOT(ISNUMBER(D383))), AND(ISNUMBER(D383), OR(D383&lt;0.01, D383&gt;999999999)), AND(COUNTA(D383:F383, H383:N383)&gt;0, C383=""""),                  
  AND(COUNTA(C383, H383:N383)&gt;0, D383=""""), LEN("&amp;"H383)&gt;50, AND(I383&lt;&gt;"""", NOT(ISNUMBER(I383))), AND(ISNUMBER(I383), OR(I383&lt;0, I383&gt;99998)), AND(L383&lt;&gt;"""", NOT(REGEXMATCH(L383&amp;"""", ""^\d{8,14}$"")))), ""Erro"", """")"),"")</f>
      </c>
    </row>
    <row r="384" ht="15.75" customHeight="true">
      <c r="A384" s="33"/>
      <c r="B384" s="34" t="str">
        <f t="shared" si="1"/>
      </c>
      <c r="C384" s="35"/>
      <c r="D384" s="36"/>
      <c r="E384" s="37"/>
      <c r="F384" s="38"/>
      <c r="G384" s="39" t="str">
        <f t="shared" si="2"/>
      </c>
      <c r="H384" s="40"/>
      <c r="I384" s="41"/>
      <c r="J384" s="41"/>
      <c r="K384" s="41"/>
      <c r="L384" s="42"/>
      <c r="M384" s="43"/>
      <c r="N384" s="44"/>
      <c r="O384" s="45"/>
      <c r="P384" s="46" t="str">
        <f>IFERROR(__xludf.DUMMYFUNCTION("IF(OR(AND(C384&lt;&gt;"""", LEN(C384)&lt;3), LEN(C384)&gt;60, AND(D384&lt;&gt;"""", NOT(ISNUMBER(D384))), AND(ISNUMBER(D384), OR(D384&lt;0.01, D384&gt;999999999)), AND(COUNTA(D384:F384, H384:N384)&gt;0, C384=""""),                  
  AND(COUNTA(C384, H384:N384)&gt;0, D384=""""), LEN("&amp;"H384)&gt;50, AND(I384&lt;&gt;"""", NOT(ISNUMBER(I384))), AND(ISNUMBER(I384), OR(I384&lt;0, I384&gt;99998)), AND(L384&lt;&gt;"""", NOT(REGEXMATCH(L384&amp;"""", ""^\d{8,14}$"")))), ""Erro"", """")"),"")</f>
      </c>
    </row>
    <row r="385" ht="15.75" customHeight="true">
      <c r="A385" s="33"/>
      <c r="B385" s="34" t="str">
        <f t="shared" si="1"/>
      </c>
      <c r="C385" s="35"/>
      <c r="D385" s="36"/>
      <c r="E385" s="37"/>
      <c r="F385" s="38"/>
      <c r="G385" s="39" t="str">
        <f t="shared" si="2"/>
      </c>
      <c r="H385" s="40"/>
      <c r="I385" s="41"/>
      <c r="J385" s="41"/>
      <c r="K385" s="41"/>
      <c r="L385" s="42"/>
      <c r="M385" s="43"/>
      <c r="N385" s="44"/>
      <c r="O385" s="45"/>
      <c r="P385" s="46" t="str">
        <f>IFERROR(__xludf.DUMMYFUNCTION("IF(OR(AND(C385&lt;&gt;"""", LEN(C385)&lt;3), LEN(C385)&gt;60, AND(D385&lt;&gt;"""", NOT(ISNUMBER(D385))), AND(ISNUMBER(D385), OR(D385&lt;0.01, D385&gt;999999999)), AND(COUNTA(D385:F385, H385:N385)&gt;0, C385=""""),                  
  AND(COUNTA(C385, H385:N385)&gt;0, D385=""""), LEN("&amp;"H385)&gt;50, AND(I385&lt;&gt;"""", NOT(ISNUMBER(I385))), AND(ISNUMBER(I385), OR(I385&lt;0, I385&gt;99998)), AND(L385&lt;&gt;"""", NOT(REGEXMATCH(L385&amp;"""", ""^\d{8,14}$"")))), ""Erro"", """")"),"")</f>
      </c>
    </row>
    <row r="386" ht="15.75" customHeight="true">
      <c r="A386" s="33"/>
      <c r="B386" s="34" t="str">
        <f t="shared" si="1"/>
      </c>
      <c r="C386" s="35"/>
      <c r="D386" s="36"/>
      <c r="E386" s="37"/>
      <c r="F386" s="38"/>
      <c r="G386" s="39" t="str">
        <f t="shared" si="2"/>
      </c>
      <c r="H386" s="40"/>
      <c r="I386" s="41"/>
      <c r="J386" s="41"/>
      <c r="K386" s="41"/>
      <c r="L386" s="42"/>
      <c r="M386" s="43"/>
      <c r="N386" s="44"/>
      <c r="O386" s="45"/>
      <c r="P386" s="46" t="str">
        <f>IFERROR(__xludf.DUMMYFUNCTION("IF(OR(AND(C386&lt;&gt;"""", LEN(C386)&lt;3), LEN(C386)&gt;60, AND(D386&lt;&gt;"""", NOT(ISNUMBER(D386))), AND(ISNUMBER(D386), OR(D386&lt;0.01, D386&gt;999999999)), AND(COUNTA(D386:F386, H386:N386)&gt;0, C386=""""),                  
  AND(COUNTA(C386, H386:N386)&gt;0, D386=""""), LEN("&amp;"H386)&gt;50, AND(I386&lt;&gt;"""", NOT(ISNUMBER(I386))), AND(ISNUMBER(I386), OR(I386&lt;0, I386&gt;99998)), AND(L386&lt;&gt;"""", NOT(REGEXMATCH(L386&amp;"""", ""^\d{8,14}$"")))), ""Erro"", """")"),"")</f>
      </c>
    </row>
    <row r="387" ht="15.75" customHeight="true">
      <c r="A387" s="33"/>
      <c r="B387" s="34" t="str">
        <f t="shared" si="1"/>
      </c>
      <c r="C387" s="35"/>
      <c r="D387" s="36"/>
      <c r="E387" s="37"/>
      <c r="F387" s="38"/>
      <c r="G387" s="39" t="str">
        <f t="shared" si="2"/>
      </c>
      <c r="H387" s="40"/>
      <c r="I387" s="41"/>
      <c r="J387" s="41"/>
      <c r="K387" s="41"/>
      <c r="L387" s="42"/>
      <c r="M387" s="43"/>
      <c r="N387" s="44"/>
      <c r="O387" s="45"/>
      <c r="P387" s="46" t="str">
        <f>IFERROR(__xludf.DUMMYFUNCTION("IF(OR(AND(C387&lt;&gt;"""", LEN(C387)&lt;3), LEN(C387)&gt;60, AND(D387&lt;&gt;"""", NOT(ISNUMBER(D387))), AND(ISNUMBER(D387), OR(D387&lt;0.01, D387&gt;999999999)), AND(COUNTA(D387:F387, H387:N387)&gt;0, C387=""""),                  
  AND(COUNTA(C387, H387:N387)&gt;0, D387=""""), LEN("&amp;"H387)&gt;50, AND(I387&lt;&gt;"""", NOT(ISNUMBER(I387))), AND(ISNUMBER(I387), OR(I387&lt;0, I387&gt;99998)), AND(L387&lt;&gt;"""", NOT(REGEXMATCH(L387&amp;"""", ""^\d{8,14}$"")))), ""Erro"", """")"),"")</f>
      </c>
    </row>
    <row r="388" ht="15.75" customHeight="true">
      <c r="A388" s="33"/>
      <c r="B388" s="34" t="str">
        <f t="shared" si="1"/>
      </c>
      <c r="C388" s="35"/>
      <c r="D388" s="36"/>
      <c r="E388" s="37"/>
      <c r="F388" s="38"/>
      <c r="G388" s="39" t="str">
        <f t="shared" si="2"/>
      </c>
      <c r="H388" s="40"/>
      <c r="I388" s="41"/>
      <c r="J388" s="41"/>
      <c r="K388" s="41"/>
      <c r="L388" s="42"/>
      <c r="M388" s="43"/>
      <c r="N388" s="44"/>
      <c r="O388" s="45"/>
      <c r="P388" s="46" t="str">
        <f>IFERROR(__xludf.DUMMYFUNCTION("IF(OR(AND(C388&lt;&gt;"""", LEN(C388)&lt;3), LEN(C388)&gt;60, AND(D388&lt;&gt;"""", NOT(ISNUMBER(D388))), AND(ISNUMBER(D388), OR(D388&lt;0.01, D388&gt;999999999)), AND(COUNTA(D388:F388, H388:N388)&gt;0, C388=""""),                  
  AND(COUNTA(C388, H388:N388)&gt;0, D388=""""), LEN("&amp;"H388)&gt;50, AND(I388&lt;&gt;"""", NOT(ISNUMBER(I388))), AND(ISNUMBER(I388), OR(I388&lt;0, I388&gt;99998)), AND(L388&lt;&gt;"""", NOT(REGEXMATCH(L388&amp;"""", ""^\d{8,14}$"")))), ""Erro"", """")"),"")</f>
      </c>
    </row>
    <row r="389" ht="15.75" customHeight="true">
      <c r="A389" s="33"/>
      <c r="B389" s="34" t="str">
        <f t="shared" si="1"/>
      </c>
      <c r="C389" s="35"/>
      <c r="D389" s="36"/>
      <c r="E389" s="37"/>
      <c r="F389" s="38"/>
      <c r="G389" s="39" t="str">
        <f t="shared" si="2"/>
      </c>
      <c r="H389" s="40"/>
      <c r="I389" s="41"/>
      <c r="J389" s="41"/>
      <c r="K389" s="41"/>
      <c r="L389" s="42"/>
      <c r="M389" s="43"/>
      <c r="N389" s="44"/>
      <c r="O389" s="45"/>
      <c r="P389" s="46" t="str">
        <f>IFERROR(__xludf.DUMMYFUNCTION("IF(OR(AND(C389&lt;&gt;"""", LEN(C389)&lt;3), LEN(C389)&gt;60, AND(D389&lt;&gt;"""", NOT(ISNUMBER(D389))), AND(ISNUMBER(D389), OR(D389&lt;0.01, D389&gt;999999999)), AND(COUNTA(D389:F389, H389:N389)&gt;0, C389=""""),                  
  AND(COUNTA(C389, H389:N389)&gt;0, D389=""""), LEN("&amp;"H389)&gt;50, AND(I389&lt;&gt;"""", NOT(ISNUMBER(I389))), AND(ISNUMBER(I389), OR(I389&lt;0, I389&gt;99998)), AND(L389&lt;&gt;"""", NOT(REGEXMATCH(L389&amp;"""", ""^\d{8,14}$"")))), ""Erro"", """")"),"")</f>
      </c>
    </row>
    <row r="390" ht="15.75" customHeight="true">
      <c r="A390" s="33"/>
      <c r="B390" s="34" t="str">
        <f t="shared" si="1"/>
      </c>
      <c r="C390" s="35"/>
      <c r="D390" s="36"/>
      <c r="E390" s="37"/>
      <c r="F390" s="38"/>
      <c r="G390" s="39" t="str">
        <f t="shared" si="2"/>
      </c>
      <c r="H390" s="40"/>
      <c r="I390" s="41"/>
      <c r="J390" s="41"/>
      <c r="K390" s="41"/>
      <c r="L390" s="42"/>
      <c r="M390" s="43"/>
      <c r="N390" s="44"/>
      <c r="O390" s="45"/>
      <c r="P390" s="46" t="str">
        <f>IFERROR(__xludf.DUMMYFUNCTION("IF(OR(AND(C390&lt;&gt;"""", LEN(C390)&lt;3), LEN(C390)&gt;60, AND(D390&lt;&gt;"""", NOT(ISNUMBER(D390))), AND(ISNUMBER(D390), OR(D390&lt;0.01, D390&gt;999999999)), AND(COUNTA(D390:F390, H390:N390)&gt;0, C390=""""),                  
  AND(COUNTA(C390, H390:N390)&gt;0, D390=""""), LEN("&amp;"H390)&gt;50, AND(I390&lt;&gt;"""", NOT(ISNUMBER(I390))), AND(ISNUMBER(I390), OR(I390&lt;0, I390&gt;99998)), AND(L390&lt;&gt;"""", NOT(REGEXMATCH(L390&amp;"""", ""^\d{8,14}$"")))), ""Erro"", """")"),"")</f>
      </c>
    </row>
    <row r="391" ht="15.75" customHeight="true">
      <c r="A391" s="33"/>
      <c r="B391" s="34" t="str">
        <f t="shared" si="1"/>
      </c>
      <c r="C391" s="35"/>
      <c r="D391" s="36"/>
      <c r="E391" s="37"/>
      <c r="F391" s="38"/>
      <c r="G391" s="39" t="str">
        <f t="shared" si="2"/>
      </c>
      <c r="H391" s="40"/>
      <c r="I391" s="41"/>
      <c r="J391" s="41"/>
      <c r="K391" s="41"/>
      <c r="L391" s="42"/>
      <c r="M391" s="43"/>
      <c r="N391" s="44"/>
      <c r="O391" s="45"/>
      <c r="P391" s="46" t="str">
        <f>IFERROR(__xludf.DUMMYFUNCTION("IF(OR(AND(C391&lt;&gt;"""", LEN(C391)&lt;3), LEN(C391)&gt;60, AND(D391&lt;&gt;"""", NOT(ISNUMBER(D391))), AND(ISNUMBER(D391), OR(D391&lt;0.01, D391&gt;999999999)), AND(COUNTA(D391:F391, H391:N391)&gt;0, C391=""""),                  
  AND(COUNTA(C391, H391:N391)&gt;0, D391=""""), LEN("&amp;"H391)&gt;50, AND(I391&lt;&gt;"""", NOT(ISNUMBER(I391))), AND(ISNUMBER(I391), OR(I391&lt;0, I391&gt;99998)), AND(L391&lt;&gt;"""", NOT(REGEXMATCH(L391&amp;"""", ""^\d{8,14}$"")))), ""Erro"", """")"),"")</f>
      </c>
    </row>
    <row r="392" ht="15.75" customHeight="true">
      <c r="A392" s="33"/>
      <c r="B392" s="34" t="str">
        <f t="shared" si="1"/>
      </c>
      <c r="C392" s="35"/>
      <c r="D392" s="36"/>
      <c r="E392" s="37"/>
      <c r="F392" s="38"/>
      <c r="G392" s="39" t="str">
        <f t="shared" si="2"/>
      </c>
      <c r="H392" s="40"/>
      <c r="I392" s="41"/>
      <c r="J392" s="41"/>
      <c r="K392" s="41"/>
      <c r="L392" s="42"/>
      <c r="M392" s="43"/>
      <c r="N392" s="44"/>
      <c r="O392" s="45"/>
      <c r="P392" s="46" t="str">
        <f>IFERROR(__xludf.DUMMYFUNCTION("IF(OR(AND(C392&lt;&gt;"""", LEN(C392)&lt;3), LEN(C392)&gt;60, AND(D392&lt;&gt;"""", NOT(ISNUMBER(D392))), AND(ISNUMBER(D392), OR(D392&lt;0.01, D392&gt;999999999)), AND(COUNTA(D392:F392, H392:N392)&gt;0, C392=""""),                  
  AND(COUNTA(C392, H392:N392)&gt;0, D392=""""), LEN("&amp;"H392)&gt;50, AND(I392&lt;&gt;"""", NOT(ISNUMBER(I392))), AND(ISNUMBER(I392), OR(I392&lt;0, I392&gt;99998)), AND(L392&lt;&gt;"""", NOT(REGEXMATCH(L392&amp;"""", ""^\d{8,14}$"")))), ""Erro"", """")"),"")</f>
      </c>
    </row>
    <row r="393" ht="15.75" customHeight="true">
      <c r="A393" s="33"/>
      <c r="B393" s="34" t="str">
        <f t="shared" si="1"/>
      </c>
      <c r="C393" s="35"/>
      <c r="D393" s="36"/>
      <c r="E393" s="37"/>
      <c r="F393" s="38"/>
      <c r="G393" s="39" t="str">
        <f t="shared" si="2"/>
      </c>
      <c r="H393" s="40"/>
      <c r="I393" s="41"/>
      <c r="J393" s="41"/>
      <c r="K393" s="41"/>
      <c r="L393" s="42"/>
      <c r="M393" s="43"/>
      <c r="N393" s="44"/>
      <c r="O393" s="45"/>
      <c r="P393" s="46" t="str">
        <f>IFERROR(__xludf.DUMMYFUNCTION("IF(OR(AND(C393&lt;&gt;"""", LEN(C393)&lt;3), LEN(C393)&gt;60, AND(D393&lt;&gt;"""", NOT(ISNUMBER(D393))), AND(ISNUMBER(D393), OR(D393&lt;0.01, D393&gt;999999999)), AND(COUNTA(D393:F393, H393:N393)&gt;0, C393=""""),                  
  AND(COUNTA(C393, H393:N393)&gt;0, D393=""""), LEN("&amp;"H393)&gt;50, AND(I393&lt;&gt;"""", NOT(ISNUMBER(I393))), AND(ISNUMBER(I393), OR(I393&lt;0, I393&gt;99998)), AND(L393&lt;&gt;"""", NOT(REGEXMATCH(L393&amp;"""", ""^\d{8,14}$"")))), ""Erro"", """")"),"")</f>
      </c>
    </row>
    <row r="394" ht="15.75" customHeight="true">
      <c r="A394" s="33"/>
      <c r="B394" s="34" t="str">
        <f t="shared" si="1"/>
      </c>
      <c r="C394" s="35"/>
      <c r="D394" s="36"/>
      <c r="E394" s="37"/>
      <c r="F394" s="38"/>
      <c r="G394" s="39" t="str">
        <f t="shared" si="2"/>
      </c>
      <c r="H394" s="40"/>
      <c r="I394" s="41"/>
      <c r="J394" s="41"/>
      <c r="K394" s="41"/>
      <c r="L394" s="42"/>
      <c r="M394" s="43"/>
      <c r="N394" s="44"/>
      <c r="O394" s="45"/>
      <c r="P394" s="46" t="str">
        <f>IFERROR(__xludf.DUMMYFUNCTION("IF(OR(AND(C394&lt;&gt;"""", LEN(C394)&lt;3), LEN(C394)&gt;60, AND(D394&lt;&gt;"""", NOT(ISNUMBER(D394))), AND(ISNUMBER(D394), OR(D394&lt;0.01, D394&gt;999999999)), AND(COUNTA(D394:F394, H394:N394)&gt;0, C394=""""),                  
  AND(COUNTA(C394, H394:N394)&gt;0, D394=""""), LEN("&amp;"H394)&gt;50, AND(I394&lt;&gt;"""", NOT(ISNUMBER(I394))), AND(ISNUMBER(I394), OR(I394&lt;0, I394&gt;99998)), AND(L394&lt;&gt;"""", NOT(REGEXMATCH(L394&amp;"""", ""^\d{8,14}$"")))), ""Erro"", """")"),"")</f>
      </c>
    </row>
    <row r="395" ht="15.75" customHeight="true">
      <c r="A395" s="33"/>
      <c r="B395" s="34" t="str">
        <f t="shared" si="1"/>
      </c>
      <c r="C395" s="35"/>
      <c r="D395" s="36"/>
      <c r="E395" s="37"/>
      <c r="F395" s="38"/>
      <c r="G395" s="39" t="str">
        <f t="shared" si="2"/>
      </c>
      <c r="H395" s="40"/>
      <c r="I395" s="41"/>
      <c r="J395" s="41"/>
      <c r="K395" s="41"/>
      <c r="L395" s="42"/>
      <c r="M395" s="43"/>
      <c r="N395" s="44"/>
      <c r="O395" s="45"/>
      <c r="P395" s="46" t="str">
        <f>IFERROR(__xludf.DUMMYFUNCTION("IF(OR(AND(C395&lt;&gt;"""", LEN(C395)&lt;3), LEN(C395)&gt;60, AND(D395&lt;&gt;"""", NOT(ISNUMBER(D395))), AND(ISNUMBER(D395), OR(D395&lt;0.01, D395&gt;999999999)), AND(COUNTA(D395:F395, H395:N395)&gt;0, C395=""""),                  
  AND(COUNTA(C395, H395:N395)&gt;0, D395=""""), LEN("&amp;"H395)&gt;50, AND(I395&lt;&gt;"""", NOT(ISNUMBER(I395))), AND(ISNUMBER(I395), OR(I395&lt;0, I395&gt;99998)), AND(L395&lt;&gt;"""", NOT(REGEXMATCH(L395&amp;"""", ""^\d{8,14}$"")))), ""Erro"", """")"),"")</f>
      </c>
    </row>
    <row r="396" ht="15.75" customHeight="true">
      <c r="A396" s="33"/>
      <c r="B396" s="34" t="str">
        <f t="shared" si="1"/>
      </c>
      <c r="C396" s="35"/>
      <c r="D396" s="36"/>
      <c r="E396" s="37"/>
      <c r="F396" s="38"/>
      <c r="G396" s="39" t="str">
        <f t="shared" si="2"/>
      </c>
      <c r="H396" s="40"/>
      <c r="I396" s="41"/>
      <c r="J396" s="41"/>
      <c r="K396" s="41"/>
      <c r="L396" s="42"/>
      <c r="M396" s="43"/>
      <c r="N396" s="44"/>
      <c r="O396" s="45"/>
      <c r="P396" s="46" t="str">
        <f>IFERROR(__xludf.DUMMYFUNCTION("IF(OR(AND(C396&lt;&gt;"""", LEN(C396)&lt;3), LEN(C396)&gt;60, AND(D396&lt;&gt;"""", NOT(ISNUMBER(D396))), AND(ISNUMBER(D396), OR(D396&lt;0.01, D396&gt;999999999)), AND(COUNTA(D396:F396, H396:N396)&gt;0, C396=""""),                  
  AND(COUNTA(C396, H396:N396)&gt;0, D396=""""), LEN("&amp;"H396)&gt;50, AND(I396&lt;&gt;"""", NOT(ISNUMBER(I396))), AND(ISNUMBER(I396), OR(I396&lt;0, I396&gt;99998)), AND(L396&lt;&gt;"""", NOT(REGEXMATCH(L396&amp;"""", ""^\d{8,14}$"")))), ""Erro"", """")"),"")</f>
      </c>
    </row>
    <row r="397" ht="15.75" customHeight="true">
      <c r="A397" s="33"/>
      <c r="B397" s="34" t="str">
        <f t="shared" si="1"/>
      </c>
      <c r="C397" s="35"/>
      <c r="D397" s="36"/>
      <c r="E397" s="37"/>
      <c r="F397" s="38"/>
      <c r="G397" s="39" t="str">
        <f t="shared" si="2"/>
      </c>
      <c r="H397" s="40"/>
      <c r="I397" s="41"/>
      <c r="J397" s="41"/>
      <c r="K397" s="41"/>
      <c r="L397" s="42"/>
      <c r="M397" s="43"/>
      <c r="N397" s="44"/>
      <c r="O397" s="45"/>
      <c r="P397" s="46" t="str">
        <f>IFERROR(__xludf.DUMMYFUNCTION("IF(OR(AND(C397&lt;&gt;"""", LEN(C397)&lt;3), LEN(C397)&gt;60, AND(D397&lt;&gt;"""", NOT(ISNUMBER(D397))), AND(ISNUMBER(D397), OR(D397&lt;0.01, D397&gt;999999999)), AND(COUNTA(D397:F397, H397:N397)&gt;0, C397=""""),                  
  AND(COUNTA(C397, H397:N397)&gt;0, D397=""""), LEN("&amp;"H397)&gt;50, AND(I397&lt;&gt;"""", NOT(ISNUMBER(I397))), AND(ISNUMBER(I397), OR(I397&lt;0, I397&gt;99998)), AND(L397&lt;&gt;"""", NOT(REGEXMATCH(L397&amp;"""", ""^\d{8,14}$"")))), ""Erro"", """")"),"")</f>
      </c>
    </row>
    <row r="398" ht="15.75" customHeight="true">
      <c r="A398" s="33"/>
      <c r="B398" s="34" t="str">
        <f t="shared" si="1"/>
      </c>
      <c r="C398" s="35"/>
      <c r="D398" s="36"/>
      <c r="E398" s="37"/>
      <c r="F398" s="38"/>
      <c r="G398" s="39" t="str">
        <f t="shared" si="2"/>
      </c>
      <c r="H398" s="40"/>
      <c r="I398" s="41"/>
      <c r="J398" s="41"/>
      <c r="K398" s="41"/>
      <c r="L398" s="42"/>
      <c r="M398" s="43"/>
      <c r="N398" s="44"/>
      <c r="O398" s="45"/>
      <c r="P398" s="46" t="str">
        <f>IFERROR(__xludf.DUMMYFUNCTION("IF(OR(AND(C398&lt;&gt;"""", LEN(C398)&lt;3), LEN(C398)&gt;60, AND(D398&lt;&gt;"""", NOT(ISNUMBER(D398))), AND(ISNUMBER(D398), OR(D398&lt;0.01, D398&gt;999999999)), AND(COUNTA(D398:F398, H398:N398)&gt;0, C398=""""),                  
  AND(COUNTA(C398, H398:N398)&gt;0, D398=""""), LEN("&amp;"H398)&gt;50, AND(I398&lt;&gt;"""", NOT(ISNUMBER(I398))), AND(ISNUMBER(I398), OR(I398&lt;0, I398&gt;99998)), AND(L398&lt;&gt;"""", NOT(REGEXMATCH(L398&amp;"""", ""^\d{8,14}$"")))), ""Erro"", """")"),"")</f>
      </c>
    </row>
    <row r="399" ht="15.75" customHeight="true">
      <c r="A399" s="33"/>
      <c r="B399" s="34" t="str">
        <f t="shared" si="1"/>
      </c>
      <c r="C399" s="35"/>
      <c r="D399" s="36"/>
      <c r="E399" s="37"/>
      <c r="F399" s="38"/>
      <c r="G399" s="39" t="str">
        <f t="shared" si="2"/>
      </c>
      <c r="H399" s="40"/>
      <c r="I399" s="41"/>
      <c r="J399" s="41"/>
      <c r="K399" s="41"/>
      <c r="L399" s="42"/>
      <c r="M399" s="43"/>
      <c r="N399" s="44"/>
      <c r="O399" s="45"/>
      <c r="P399" s="46" t="str">
        <f>IFERROR(__xludf.DUMMYFUNCTION("IF(OR(AND(C399&lt;&gt;"""", LEN(C399)&lt;3), LEN(C399)&gt;60, AND(D399&lt;&gt;"""", NOT(ISNUMBER(D399))), AND(ISNUMBER(D399), OR(D399&lt;0.01, D399&gt;999999999)), AND(COUNTA(D399:F399, H399:N399)&gt;0, C399=""""),                  
  AND(COUNTA(C399, H399:N399)&gt;0, D399=""""), LEN("&amp;"H399)&gt;50, AND(I399&lt;&gt;"""", NOT(ISNUMBER(I399))), AND(ISNUMBER(I399), OR(I399&lt;0, I399&gt;99998)), AND(L399&lt;&gt;"""", NOT(REGEXMATCH(L399&amp;"""", ""^\d{8,14}$"")))), ""Erro"", """")"),"")</f>
      </c>
    </row>
    <row r="400" ht="15.75" customHeight="true">
      <c r="A400" s="33"/>
      <c r="B400" s="34" t="str">
        <f t="shared" si="1"/>
      </c>
      <c r="C400" s="35"/>
      <c r="D400" s="36"/>
      <c r="E400" s="37"/>
      <c r="F400" s="38"/>
      <c r="G400" s="39" t="str">
        <f t="shared" si="2"/>
      </c>
      <c r="H400" s="40"/>
      <c r="I400" s="41"/>
      <c r="J400" s="41"/>
      <c r="K400" s="41"/>
      <c r="L400" s="42"/>
      <c r="M400" s="43"/>
      <c r="N400" s="44"/>
      <c r="O400" s="45"/>
      <c r="P400" s="46" t="str">
        <f>IFERROR(__xludf.DUMMYFUNCTION("IF(OR(AND(C400&lt;&gt;"""", LEN(C400)&lt;3), LEN(C400)&gt;60, AND(D400&lt;&gt;"""", NOT(ISNUMBER(D400))), AND(ISNUMBER(D400), OR(D400&lt;0.01, D400&gt;999999999)), AND(COUNTA(D400:F400, H400:N400)&gt;0, C400=""""),                  
  AND(COUNTA(C400, H400:N400)&gt;0, D400=""""), LEN("&amp;"H400)&gt;50, AND(I400&lt;&gt;"""", NOT(ISNUMBER(I400))), AND(ISNUMBER(I400), OR(I400&lt;0, I400&gt;99998)), AND(L400&lt;&gt;"""", NOT(REGEXMATCH(L400&amp;"""", ""^\d{8,14}$"")))), ""Erro"", """")"),"")</f>
      </c>
    </row>
    <row r="401" ht="15.75" customHeight="true">
      <c r="A401" s="33"/>
      <c r="B401" s="34" t="str">
        <f t="shared" si="1"/>
      </c>
      <c r="C401" s="35"/>
      <c r="D401" s="36"/>
      <c r="E401" s="37"/>
      <c r="F401" s="38"/>
      <c r="G401" s="39" t="str">
        <f t="shared" si="2"/>
      </c>
      <c r="H401" s="40"/>
      <c r="I401" s="41"/>
      <c r="J401" s="41"/>
      <c r="K401" s="41"/>
      <c r="L401" s="42"/>
      <c r="M401" s="43"/>
      <c r="N401" s="44"/>
      <c r="O401" s="45"/>
      <c r="P401" s="46" t="str">
        <f>IFERROR(__xludf.DUMMYFUNCTION("IF(OR(AND(C401&lt;&gt;"""", LEN(C401)&lt;3), LEN(C401)&gt;60, AND(D401&lt;&gt;"""", NOT(ISNUMBER(D401))), AND(ISNUMBER(D401), OR(D401&lt;0.01, D401&gt;999999999)), AND(COUNTA(D401:F401, H401:N401)&gt;0, C401=""""),                  
  AND(COUNTA(C401, H401:N401)&gt;0, D401=""""), LEN("&amp;"H401)&gt;50, AND(I401&lt;&gt;"""", NOT(ISNUMBER(I401))), AND(ISNUMBER(I401), OR(I401&lt;0, I401&gt;99998)), AND(L401&lt;&gt;"""", NOT(REGEXMATCH(L401&amp;"""", ""^\d{8,14}$"")))), ""Erro"", """")"),"")</f>
      </c>
    </row>
    <row r="402" ht="15.75" customHeight="true">
      <c r="A402" s="33"/>
      <c r="B402" s="34" t="str">
        <f t="shared" si="1"/>
      </c>
      <c r="C402" s="35"/>
      <c r="D402" s="36"/>
      <c r="E402" s="37"/>
      <c r="F402" s="38"/>
      <c r="G402" s="39" t="str">
        <f t="shared" si="2"/>
      </c>
      <c r="H402" s="40"/>
      <c r="I402" s="41"/>
      <c r="J402" s="41"/>
      <c r="K402" s="41"/>
      <c r="L402" s="42"/>
      <c r="M402" s="43"/>
      <c r="N402" s="44"/>
      <c r="O402" s="45"/>
      <c r="P402" s="46" t="str">
        <f>IFERROR(__xludf.DUMMYFUNCTION("IF(OR(AND(C402&lt;&gt;"""", LEN(C402)&lt;3), LEN(C402)&gt;60, AND(D402&lt;&gt;"""", NOT(ISNUMBER(D402))), AND(ISNUMBER(D402), OR(D402&lt;0.01, D402&gt;999999999)), AND(COUNTA(D402:F402, H402:N402)&gt;0, C402=""""),                  
  AND(COUNTA(C402, H402:N402)&gt;0, D402=""""), LEN("&amp;"H402)&gt;50, AND(I402&lt;&gt;"""", NOT(ISNUMBER(I402))), AND(ISNUMBER(I402), OR(I402&lt;0, I402&gt;99998)), AND(L402&lt;&gt;"""", NOT(REGEXMATCH(L402&amp;"""", ""^\d{8,14}$"")))), ""Erro"", """")"),"")</f>
      </c>
    </row>
    <row r="403" ht="15.75" customHeight="true">
      <c r="A403" s="33"/>
      <c r="B403" s="34" t="str">
        <f t="shared" si="1"/>
      </c>
      <c r="C403" s="35"/>
      <c r="D403" s="36"/>
      <c r="E403" s="37"/>
      <c r="F403" s="38"/>
      <c r="G403" s="39" t="str">
        <f t="shared" si="2"/>
      </c>
      <c r="H403" s="40"/>
      <c r="I403" s="41"/>
      <c r="J403" s="41"/>
      <c r="K403" s="41"/>
      <c r="L403" s="42"/>
      <c r="M403" s="43"/>
      <c r="N403" s="44"/>
      <c r="O403" s="45"/>
      <c r="P403" s="46" t="str">
        <f>IFERROR(__xludf.DUMMYFUNCTION("IF(OR(AND(C403&lt;&gt;"""", LEN(C403)&lt;3), LEN(C403)&gt;60, AND(D403&lt;&gt;"""", NOT(ISNUMBER(D403))), AND(ISNUMBER(D403), OR(D403&lt;0.01, D403&gt;999999999)), AND(COUNTA(D403:F403, H403:N403)&gt;0, C403=""""),                  
  AND(COUNTA(C403, H403:N403)&gt;0, D403=""""), LEN("&amp;"H403)&gt;50, AND(I403&lt;&gt;"""", NOT(ISNUMBER(I403))), AND(ISNUMBER(I403), OR(I403&lt;0, I403&gt;99998)), AND(L403&lt;&gt;"""", NOT(REGEXMATCH(L403&amp;"""", ""^\d{8,14}$"")))), ""Erro"", """")"),"")</f>
      </c>
    </row>
    <row r="404" ht="15.75" customHeight="true">
      <c r="A404" s="33"/>
      <c r="B404" s="34" t="str">
        <f t="shared" si="1"/>
      </c>
      <c r="C404" s="35"/>
      <c r="D404" s="36"/>
      <c r="E404" s="37"/>
      <c r="F404" s="38"/>
      <c r="G404" s="39" t="str">
        <f t="shared" si="2"/>
      </c>
      <c r="H404" s="40"/>
      <c r="I404" s="41"/>
      <c r="J404" s="41"/>
      <c r="K404" s="41"/>
      <c r="L404" s="42"/>
      <c r="M404" s="43"/>
      <c r="N404" s="44"/>
      <c r="O404" s="45"/>
      <c r="P404" s="46" t="str">
        <f>IFERROR(__xludf.DUMMYFUNCTION("IF(OR(AND(C404&lt;&gt;"""", LEN(C404)&lt;3), LEN(C404)&gt;60, AND(D404&lt;&gt;"""", NOT(ISNUMBER(D404))), AND(ISNUMBER(D404), OR(D404&lt;0.01, D404&gt;999999999)), AND(COUNTA(D404:F404, H404:N404)&gt;0, C404=""""),                  
  AND(COUNTA(C404, H404:N404)&gt;0, D404=""""), LEN("&amp;"H404)&gt;50, AND(I404&lt;&gt;"""", NOT(ISNUMBER(I404))), AND(ISNUMBER(I404), OR(I404&lt;0, I404&gt;99998)), AND(L404&lt;&gt;"""", NOT(REGEXMATCH(L404&amp;"""", ""^\d{8,14}$"")))), ""Erro"", """")"),"")</f>
      </c>
    </row>
    <row r="405" ht="15.75" customHeight="true">
      <c r="A405" s="33"/>
      <c r="B405" s="34" t="str">
        <f t="shared" si="1"/>
      </c>
      <c r="C405" s="35"/>
      <c r="D405" s="36"/>
      <c r="E405" s="37"/>
      <c r="F405" s="38"/>
      <c r="G405" s="39" t="str">
        <f t="shared" si="2"/>
      </c>
      <c r="H405" s="40"/>
      <c r="I405" s="41"/>
      <c r="J405" s="41"/>
      <c r="K405" s="41"/>
      <c r="L405" s="42"/>
      <c r="M405" s="43"/>
      <c r="N405" s="44"/>
      <c r="O405" s="45"/>
      <c r="P405" s="46" t="str">
        <f>IFERROR(__xludf.DUMMYFUNCTION("IF(OR(AND(C405&lt;&gt;"""", LEN(C405)&lt;3), LEN(C405)&gt;60, AND(D405&lt;&gt;"""", NOT(ISNUMBER(D405))), AND(ISNUMBER(D405), OR(D405&lt;0.01, D405&gt;999999999)), AND(COUNTA(D405:F405, H405:N405)&gt;0, C405=""""),                  
  AND(COUNTA(C405, H405:N405)&gt;0, D405=""""), LEN("&amp;"H405)&gt;50, AND(I405&lt;&gt;"""", NOT(ISNUMBER(I405))), AND(ISNUMBER(I405), OR(I405&lt;0, I405&gt;99998)), AND(L405&lt;&gt;"""", NOT(REGEXMATCH(L405&amp;"""", ""^\d{8,14}$"")))), ""Erro"", """")"),"")</f>
      </c>
    </row>
    <row r="406" ht="15.75" customHeight="true">
      <c r="A406" s="33"/>
      <c r="B406" s="34" t="str">
        <f t="shared" si="1"/>
      </c>
      <c r="C406" s="35"/>
      <c r="D406" s="36"/>
      <c r="E406" s="37"/>
      <c r="F406" s="38"/>
      <c r="G406" s="39" t="str">
        <f t="shared" si="2"/>
      </c>
      <c r="H406" s="40"/>
      <c r="I406" s="41"/>
      <c r="J406" s="41"/>
      <c r="K406" s="41"/>
      <c r="L406" s="42"/>
      <c r="M406" s="43"/>
      <c r="N406" s="44"/>
      <c r="O406" s="45"/>
      <c r="P406" s="46" t="str">
        <f>IFERROR(__xludf.DUMMYFUNCTION("IF(OR(AND(C406&lt;&gt;"""", LEN(C406)&lt;3), LEN(C406)&gt;60, AND(D406&lt;&gt;"""", NOT(ISNUMBER(D406))), AND(ISNUMBER(D406), OR(D406&lt;0.01, D406&gt;999999999)), AND(COUNTA(D406:F406, H406:N406)&gt;0, C406=""""),                  
  AND(COUNTA(C406, H406:N406)&gt;0, D406=""""), LEN("&amp;"H406)&gt;50, AND(I406&lt;&gt;"""", NOT(ISNUMBER(I406))), AND(ISNUMBER(I406), OR(I406&lt;0, I406&gt;99998)), AND(L406&lt;&gt;"""", NOT(REGEXMATCH(L406&amp;"""", ""^\d{8,14}$"")))), ""Erro"", """")"),"")</f>
      </c>
    </row>
    <row r="407" ht="15.75" customHeight="true">
      <c r="A407" s="33"/>
      <c r="B407" s="34" t="str">
        <f t="shared" si="1"/>
      </c>
      <c r="C407" s="35"/>
      <c r="D407" s="36"/>
      <c r="E407" s="37"/>
      <c r="F407" s="38"/>
      <c r="G407" s="39" t="str">
        <f t="shared" si="2"/>
      </c>
      <c r="H407" s="40"/>
      <c r="I407" s="41"/>
      <c r="J407" s="41"/>
      <c r="K407" s="41"/>
      <c r="L407" s="42"/>
      <c r="M407" s="43"/>
      <c r="N407" s="44"/>
      <c r="O407" s="45"/>
      <c r="P407" s="46" t="str">
        <f>IFERROR(__xludf.DUMMYFUNCTION("IF(OR(AND(C407&lt;&gt;"""", LEN(C407)&lt;3), LEN(C407)&gt;60, AND(D407&lt;&gt;"""", NOT(ISNUMBER(D407))), AND(ISNUMBER(D407), OR(D407&lt;0.01, D407&gt;999999999)), AND(COUNTA(D407:F407, H407:N407)&gt;0, C407=""""),                  
  AND(COUNTA(C407, H407:N407)&gt;0, D407=""""), LEN("&amp;"H407)&gt;50, AND(I407&lt;&gt;"""", NOT(ISNUMBER(I407))), AND(ISNUMBER(I407), OR(I407&lt;0, I407&gt;99998)), AND(L407&lt;&gt;"""", NOT(REGEXMATCH(L407&amp;"""", ""^\d{8,14}$"")))), ""Erro"", """")"),"")</f>
      </c>
    </row>
    <row r="408" ht="15.75" customHeight="true">
      <c r="A408" s="33"/>
      <c r="B408" s="34" t="str">
        <f t="shared" si="1"/>
      </c>
      <c r="C408" s="35"/>
      <c r="D408" s="36"/>
      <c r="E408" s="37"/>
      <c r="F408" s="38"/>
      <c r="G408" s="39" t="str">
        <f t="shared" si="2"/>
      </c>
      <c r="H408" s="40"/>
      <c r="I408" s="41"/>
      <c r="J408" s="41"/>
      <c r="K408" s="41"/>
      <c r="L408" s="42"/>
      <c r="M408" s="43"/>
      <c r="N408" s="44"/>
      <c r="O408" s="45"/>
      <c r="P408" s="46" t="str">
        <f>IFERROR(__xludf.DUMMYFUNCTION("IF(OR(AND(C408&lt;&gt;"""", LEN(C408)&lt;3), LEN(C408)&gt;60, AND(D408&lt;&gt;"""", NOT(ISNUMBER(D408))), AND(ISNUMBER(D408), OR(D408&lt;0.01, D408&gt;999999999)), AND(COUNTA(D408:F408, H408:N408)&gt;0, C408=""""),                  
  AND(COUNTA(C408, H408:N408)&gt;0, D408=""""), LEN("&amp;"H408)&gt;50, AND(I408&lt;&gt;"""", NOT(ISNUMBER(I408))), AND(ISNUMBER(I408), OR(I408&lt;0, I408&gt;99998)), AND(L408&lt;&gt;"""", NOT(REGEXMATCH(L408&amp;"""", ""^\d{8,14}$"")))), ""Erro"", """")"),"")</f>
      </c>
    </row>
    <row r="409" ht="15.75" customHeight="true">
      <c r="A409" s="33"/>
      <c r="B409" s="34" t="str">
        <f t="shared" si="1"/>
      </c>
      <c r="C409" s="35"/>
      <c r="D409" s="36"/>
      <c r="E409" s="37"/>
      <c r="F409" s="38"/>
      <c r="G409" s="39" t="str">
        <f t="shared" si="2"/>
      </c>
      <c r="H409" s="40"/>
      <c r="I409" s="41"/>
      <c r="J409" s="41"/>
      <c r="K409" s="41"/>
      <c r="L409" s="42"/>
      <c r="M409" s="43"/>
      <c r="N409" s="44"/>
      <c r="O409" s="45"/>
      <c r="P409" s="46" t="str">
        <f>IFERROR(__xludf.DUMMYFUNCTION("IF(OR(AND(C409&lt;&gt;"""", LEN(C409)&lt;3), LEN(C409)&gt;60, AND(D409&lt;&gt;"""", NOT(ISNUMBER(D409))), AND(ISNUMBER(D409), OR(D409&lt;0.01, D409&gt;999999999)), AND(COUNTA(D409:F409, H409:N409)&gt;0, C409=""""),                  
  AND(COUNTA(C409, H409:N409)&gt;0, D409=""""), LEN("&amp;"H409)&gt;50, AND(I409&lt;&gt;"""", NOT(ISNUMBER(I409))), AND(ISNUMBER(I409), OR(I409&lt;0, I409&gt;99998)), AND(L409&lt;&gt;"""", NOT(REGEXMATCH(L409&amp;"""", ""^\d{8,14}$"")))), ""Erro"", """")"),"")</f>
      </c>
    </row>
    <row r="410" ht="15.75" customHeight="true">
      <c r="A410" s="33"/>
      <c r="B410" s="34" t="str">
        <f t="shared" si="1"/>
      </c>
      <c r="C410" s="35"/>
      <c r="D410" s="36"/>
      <c r="E410" s="37"/>
      <c r="F410" s="38"/>
      <c r="G410" s="39" t="str">
        <f t="shared" si="2"/>
      </c>
      <c r="H410" s="40"/>
      <c r="I410" s="41"/>
      <c r="J410" s="41"/>
      <c r="K410" s="41"/>
      <c r="L410" s="42"/>
      <c r="M410" s="43"/>
      <c r="N410" s="44"/>
      <c r="O410" s="45"/>
      <c r="P410" s="46" t="str">
        <f>IFERROR(__xludf.DUMMYFUNCTION("IF(OR(AND(C410&lt;&gt;"""", LEN(C410)&lt;3), LEN(C410)&gt;60, AND(D410&lt;&gt;"""", NOT(ISNUMBER(D410))), AND(ISNUMBER(D410), OR(D410&lt;0.01, D410&gt;999999999)), AND(COUNTA(D410:F410, H410:N410)&gt;0, C410=""""),                  
  AND(COUNTA(C410, H410:N410)&gt;0, D410=""""), LEN("&amp;"H410)&gt;50, AND(I410&lt;&gt;"""", NOT(ISNUMBER(I410))), AND(ISNUMBER(I410), OR(I410&lt;0, I410&gt;99998)), AND(L410&lt;&gt;"""", NOT(REGEXMATCH(L410&amp;"""", ""^\d{8,14}$"")))), ""Erro"", """")"),"")</f>
      </c>
    </row>
    <row r="411" ht="15.75" customHeight="true">
      <c r="A411" s="33"/>
      <c r="B411" s="34" t="str">
        <f t="shared" si="1"/>
      </c>
      <c r="C411" s="35"/>
      <c r="D411" s="36"/>
      <c r="E411" s="37"/>
      <c r="F411" s="38"/>
      <c r="G411" s="39" t="str">
        <f t="shared" si="2"/>
      </c>
      <c r="H411" s="40"/>
      <c r="I411" s="41"/>
      <c r="J411" s="41"/>
      <c r="K411" s="41"/>
      <c r="L411" s="42"/>
      <c r="M411" s="43"/>
      <c r="N411" s="44"/>
      <c r="O411" s="45"/>
      <c r="P411" s="46" t="str">
        <f>IFERROR(__xludf.DUMMYFUNCTION("IF(OR(AND(C411&lt;&gt;"""", LEN(C411)&lt;3), LEN(C411)&gt;60, AND(D411&lt;&gt;"""", NOT(ISNUMBER(D411))), AND(ISNUMBER(D411), OR(D411&lt;0.01, D411&gt;999999999)), AND(COUNTA(D411:F411, H411:N411)&gt;0, C411=""""),                  
  AND(COUNTA(C411, H411:N411)&gt;0, D411=""""), LEN("&amp;"H411)&gt;50, AND(I411&lt;&gt;"""", NOT(ISNUMBER(I411))), AND(ISNUMBER(I411), OR(I411&lt;0, I411&gt;99998)), AND(L411&lt;&gt;"""", NOT(REGEXMATCH(L411&amp;"""", ""^\d{8,14}$"")))), ""Erro"", """")"),"")</f>
      </c>
    </row>
    <row r="412" ht="15.75" customHeight="true">
      <c r="A412" s="33"/>
      <c r="B412" s="34" t="str">
        <f t="shared" si="1"/>
      </c>
      <c r="C412" s="35"/>
      <c r="D412" s="36"/>
      <c r="E412" s="37"/>
      <c r="F412" s="38"/>
      <c r="G412" s="39" t="str">
        <f t="shared" si="2"/>
      </c>
      <c r="H412" s="40"/>
      <c r="I412" s="41"/>
      <c r="J412" s="41"/>
      <c r="K412" s="41"/>
      <c r="L412" s="42"/>
      <c r="M412" s="43"/>
      <c r="N412" s="44"/>
      <c r="O412" s="45"/>
      <c r="P412" s="46" t="str">
        <f>IFERROR(__xludf.DUMMYFUNCTION("IF(OR(AND(C412&lt;&gt;"""", LEN(C412)&lt;3), LEN(C412)&gt;60, AND(D412&lt;&gt;"""", NOT(ISNUMBER(D412))), AND(ISNUMBER(D412), OR(D412&lt;0.01, D412&gt;999999999)), AND(COUNTA(D412:F412, H412:N412)&gt;0, C412=""""),                  
  AND(COUNTA(C412, H412:N412)&gt;0, D412=""""), LEN("&amp;"H412)&gt;50, AND(I412&lt;&gt;"""", NOT(ISNUMBER(I412))), AND(ISNUMBER(I412), OR(I412&lt;0, I412&gt;99998)), AND(L412&lt;&gt;"""", NOT(REGEXMATCH(L412&amp;"""", ""^\d{8,14}$"")))), ""Erro"", """")"),"")</f>
      </c>
    </row>
    <row r="413" ht="15.75" customHeight="true">
      <c r="A413" s="33"/>
      <c r="B413" s="34" t="str">
        <f t="shared" si="1"/>
      </c>
      <c r="C413" s="35"/>
      <c r="D413" s="36"/>
      <c r="E413" s="37"/>
      <c r="F413" s="38"/>
      <c r="G413" s="39" t="str">
        <f t="shared" si="2"/>
      </c>
      <c r="H413" s="40"/>
      <c r="I413" s="41"/>
      <c r="J413" s="41"/>
      <c r="K413" s="41"/>
      <c r="L413" s="42"/>
      <c r="M413" s="43"/>
      <c r="N413" s="44"/>
      <c r="O413" s="45"/>
      <c r="P413" s="46" t="str">
        <f>IFERROR(__xludf.DUMMYFUNCTION("IF(OR(AND(C413&lt;&gt;"""", LEN(C413)&lt;3), LEN(C413)&gt;60, AND(D413&lt;&gt;"""", NOT(ISNUMBER(D413))), AND(ISNUMBER(D413), OR(D413&lt;0.01, D413&gt;999999999)), AND(COUNTA(D413:F413, H413:N413)&gt;0, C413=""""),                  
  AND(COUNTA(C413, H413:N413)&gt;0, D413=""""), LEN("&amp;"H413)&gt;50, AND(I413&lt;&gt;"""", NOT(ISNUMBER(I413))), AND(ISNUMBER(I413), OR(I413&lt;0, I413&gt;99998)), AND(L413&lt;&gt;"""", NOT(REGEXMATCH(L413&amp;"""", ""^\d{8,14}$"")))), ""Erro"", """")"),"")</f>
      </c>
    </row>
    <row r="414" ht="15.75" customHeight="true">
      <c r="A414" s="33"/>
      <c r="B414" s="34" t="str">
        <f t="shared" si="1"/>
      </c>
      <c r="C414" s="35"/>
      <c r="D414" s="36"/>
      <c r="E414" s="37"/>
      <c r="F414" s="38"/>
      <c r="G414" s="39" t="str">
        <f t="shared" si="2"/>
      </c>
      <c r="H414" s="40"/>
      <c r="I414" s="41"/>
      <c r="J414" s="41"/>
      <c r="K414" s="41"/>
      <c r="L414" s="42"/>
      <c r="M414" s="43"/>
      <c r="N414" s="44"/>
      <c r="O414" s="45"/>
      <c r="P414" s="46" t="str">
        <f>IFERROR(__xludf.DUMMYFUNCTION("IF(OR(AND(C414&lt;&gt;"""", LEN(C414)&lt;3), LEN(C414)&gt;60, AND(D414&lt;&gt;"""", NOT(ISNUMBER(D414))), AND(ISNUMBER(D414), OR(D414&lt;0.01, D414&gt;999999999)), AND(COUNTA(D414:F414, H414:N414)&gt;0, C414=""""),                  
  AND(COUNTA(C414, H414:N414)&gt;0, D414=""""), LEN("&amp;"H414)&gt;50, AND(I414&lt;&gt;"""", NOT(ISNUMBER(I414))), AND(ISNUMBER(I414), OR(I414&lt;0, I414&gt;99998)), AND(L414&lt;&gt;"""", NOT(REGEXMATCH(L414&amp;"""", ""^\d{8,14}$"")))), ""Erro"", """")"),"")</f>
      </c>
    </row>
    <row r="415" ht="15.75" customHeight="true">
      <c r="A415" s="33"/>
      <c r="B415" s="34" t="str">
        <f t="shared" si="1"/>
      </c>
      <c r="C415" s="35"/>
      <c r="D415" s="36"/>
      <c r="E415" s="37"/>
      <c r="F415" s="38"/>
      <c r="G415" s="39" t="str">
        <f t="shared" si="2"/>
      </c>
      <c r="H415" s="40"/>
      <c r="I415" s="41"/>
      <c r="J415" s="41"/>
      <c r="K415" s="41"/>
      <c r="L415" s="42"/>
      <c r="M415" s="43"/>
      <c r="N415" s="44"/>
      <c r="O415" s="45"/>
      <c r="P415" s="46" t="str">
        <f>IFERROR(__xludf.DUMMYFUNCTION("IF(OR(AND(C415&lt;&gt;"""", LEN(C415)&lt;3), LEN(C415)&gt;60, AND(D415&lt;&gt;"""", NOT(ISNUMBER(D415))), AND(ISNUMBER(D415), OR(D415&lt;0.01, D415&gt;999999999)), AND(COUNTA(D415:F415, H415:N415)&gt;0, C415=""""),                  
  AND(COUNTA(C415, H415:N415)&gt;0, D415=""""), LEN("&amp;"H415)&gt;50, AND(I415&lt;&gt;"""", NOT(ISNUMBER(I415))), AND(ISNUMBER(I415), OR(I415&lt;0, I415&gt;99998)), AND(L415&lt;&gt;"""", NOT(REGEXMATCH(L415&amp;"""", ""^\d{8,14}$"")))), ""Erro"", """")"),"")</f>
      </c>
    </row>
    <row r="416" ht="15.75" customHeight="true">
      <c r="A416" s="33"/>
      <c r="B416" s="34" t="str">
        <f t="shared" si="1"/>
      </c>
      <c r="C416" s="35"/>
      <c r="D416" s="36"/>
      <c r="E416" s="37"/>
      <c r="F416" s="38"/>
      <c r="G416" s="39" t="str">
        <f t="shared" si="2"/>
      </c>
      <c r="H416" s="40"/>
      <c r="I416" s="41"/>
      <c r="J416" s="41"/>
      <c r="K416" s="41"/>
      <c r="L416" s="42"/>
      <c r="M416" s="43"/>
      <c r="N416" s="44"/>
      <c r="O416" s="45"/>
      <c r="P416" s="46" t="str">
        <f>IFERROR(__xludf.DUMMYFUNCTION("IF(OR(AND(C416&lt;&gt;"""", LEN(C416)&lt;3), LEN(C416)&gt;60, AND(D416&lt;&gt;"""", NOT(ISNUMBER(D416))), AND(ISNUMBER(D416), OR(D416&lt;0.01, D416&gt;999999999)), AND(COUNTA(D416:F416, H416:N416)&gt;0, C416=""""),                  
  AND(COUNTA(C416, H416:N416)&gt;0, D416=""""), LEN("&amp;"H416)&gt;50, AND(I416&lt;&gt;"""", NOT(ISNUMBER(I416))), AND(ISNUMBER(I416), OR(I416&lt;0, I416&gt;99998)), AND(L416&lt;&gt;"""", NOT(REGEXMATCH(L416&amp;"""", ""^\d{8,14}$"")))), ""Erro"", """")"),"")</f>
      </c>
    </row>
    <row r="417" ht="15.75" customHeight="true">
      <c r="A417" s="33"/>
      <c r="B417" s="34" t="str">
        <f t="shared" si="1"/>
      </c>
      <c r="C417" s="35"/>
      <c r="D417" s="36"/>
      <c r="E417" s="37"/>
      <c r="F417" s="38"/>
      <c r="G417" s="39" t="str">
        <f t="shared" si="2"/>
      </c>
      <c r="H417" s="40"/>
      <c r="I417" s="41"/>
      <c r="J417" s="41"/>
      <c r="K417" s="41"/>
      <c r="L417" s="42"/>
      <c r="M417" s="43"/>
      <c r="N417" s="44"/>
      <c r="O417" s="45"/>
      <c r="P417" s="46" t="str">
        <f>IFERROR(__xludf.DUMMYFUNCTION("IF(OR(AND(C417&lt;&gt;"""", LEN(C417)&lt;3), LEN(C417)&gt;60, AND(D417&lt;&gt;"""", NOT(ISNUMBER(D417))), AND(ISNUMBER(D417), OR(D417&lt;0.01, D417&gt;999999999)), AND(COUNTA(D417:F417, H417:N417)&gt;0, C417=""""),                  
  AND(COUNTA(C417, H417:N417)&gt;0, D417=""""), LEN("&amp;"H417)&gt;50, AND(I417&lt;&gt;"""", NOT(ISNUMBER(I417))), AND(ISNUMBER(I417), OR(I417&lt;0, I417&gt;99998)), AND(L417&lt;&gt;"""", NOT(REGEXMATCH(L417&amp;"""", ""^\d{8,14}$"")))), ""Erro"", """")"),"")</f>
      </c>
    </row>
    <row r="418" ht="15.75" customHeight="true">
      <c r="A418" s="33"/>
      <c r="B418" s="34" t="str">
        <f t="shared" si="1"/>
      </c>
      <c r="C418" s="35"/>
      <c r="D418" s="36"/>
      <c r="E418" s="37"/>
      <c r="F418" s="38"/>
      <c r="G418" s="39" t="str">
        <f t="shared" si="2"/>
      </c>
      <c r="H418" s="40"/>
      <c r="I418" s="41"/>
      <c r="J418" s="41"/>
      <c r="K418" s="41"/>
      <c r="L418" s="42"/>
      <c r="M418" s="43"/>
      <c r="N418" s="44"/>
      <c r="O418" s="45"/>
      <c r="P418" s="46" t="str">
        <f>IFERROR(__xludf.DUMMYFUNCTION("IF(OR(AND(C418&lt;&gt;"""", LEN(C418)&lt;3), LEN(C418)&gt;60, AND(D418&lt;&gt;"""", NOT(ISNUMBER(D418))), AND(ISNUMBER(D418), OR(D418&lt;0.01, D418&gt;999999999)), AND(COUNTA(D418:F418, H418:N418)&gt;0, C418=""""),                  
  AND(COUNTA(C418, H418:N418)&gt;0, D418=""""), LEN("&amp;"H418)&gt;50, AND(I418&lt;&gt;"""", NOT(ISNUMBER(I418))), AND(ISNUMBER(I418), OR(I418&lt;0, I418&gt;99998)), AND(L418&lt;&gt;"""", NOT(REGEXMATCH(L418&amp;"""", ""^\d{8,14}$"")))), ""Erro"", """")"),"")</f>
      </c>
    </row>
    <row r="419" ht="15.75" customHeight="true">
      <c r="A419" s="33"/>
      <c r="B419" s="34" t="str">
        <f t="shared" si="1"/>
      </c>
      <c r="C419" s="35"/>
      <c r="D419" s="36"/>
      <c r="E419" s="37"/>
      <c r="F419" s="38"/>
      <c r="G419" s="39" t="str">
        <f t="shared" si="2"/>
      </c>
      <c r="H419" s="40"/>
      <c r="I419" s="41"/>
      <c r="J419" s="41"/>
      <c r="K419" s="41"/>
      <c r="L419" s="42"/>
      <c r="M419" s="43"/>
      <c r="N419" s="44"/>
      <c r="O419" s="45"/>
      <c r="P419" s="46" t="str">
        <f>IFERROR(__xludf.DUMMYFUNCTION("IF(OR(AND(C419&lt;&gt;"""", LEN(C419)&lt;3), LEN(C419)&gt;60, AND(D419&lt;&gt;"""", NOT(ISNUMBER(D419))), AND(ISNUMBER(D419), OR(D419&lt;0.01, D419&gt;999999999)), AND(COUNTA(D419:F419, H419:N419)&gt;0, C419=""""),                  
  AND(COUNTA(C419, H419:N419)&gt;0, D419=""""), LEN("&amp;"H419)&gt;50, AND(I419&lt;&gt;"""", NOT(ISNUMBER(I419))), AND(ISNUMBER(I419), OR(I419&lt;0, I419&gt;99998)), AND(L419&lt;&gt;"""", NOT(REGEXMATCH(L419&amp;"""", ""^\d{8,14}$"")))), ""Erro"", """")"),"")</f>
      </c>
    </row>
    <row r="420" ht="15.75" customHeight="true">
      <c r="A420" s="33"/>
      <c r="B420" s="34" t="str">
        <f t="shared" si="1"/>
      </c>
      <c r="C420" s="35"/>
      <c r="D420" s="36"/>
      <c r="E420" s="37"/>
      <c r="F420" s="38"/>
      <c r="G420" s="39" t="str">
        <f t="shared" si="2"/>
      </c>
      <c r="H420" s="40"/>
      <c r="I420" s="41"/>
      <c r="J420" s="41"/>
      <c r="K420" s="41"/>
      <c r="L420" s="42"/>
      <c r="M420" s="43"/>
      <c r="N420" s="44"/>
      <c r="O420" s="45"/>
      <c r="P420" s="46" t="str">
        <f>IFERROR(__xludf.DUMMYFUNCTION("IF(OR(AND(C420&lt;&gt;"""", LEN(C420)&lt;3), LEN(C420)&gt;60, AND(D420&lt;&gt;"""", NOT(ISNUMBER(D420))), AND(ISNUMBER(D420), OR(D420&lt;0.01, D420&gt;999999999)), AND(COUNTA(D420:F420, H420:N420)&gt;0, C420=""""),                  
  AND(COUNTA(C420, H420:N420)&gt;0, D420=""""), LEN("&amp;"H420)&gt;50, AND(I420&lt;&gt;"""", NOT(ISNUMBER(I420))), AND(ISNUMBER(I420), OR(I420&lt;0, I420&gt;99998)), AND(L420&lt;&gt;"""", NOT(REGEXMATCH(L420&amp;"""", ""^\d{8,14}$"")))), ""Erro"", """")"),"")</f>
      </c>
    </row>
    <row r="421" ht="15.75" customHeight="true">
      <c r="A421" s="33"/>
      <c r="B421" s="34" t="str">
        <f t="shared" si="1"/>
      </c>
      <c r="C421" s="35"/>
      <c r="D421" s="36"/>
      <c r="E421" s="37"/>
      <c r="F421" s="38"/>
      <c r="G421" s="39" t="str">
        <f t="shared" si="2"/>
      </c>
      <c r="H421" s="40"/>
      <c r="I421" s="41"/>
      <c r="J421" s="41"/>
      <c r="K421" s="41"/>
      <c r="L421" s="42"/>
      <c r="M421" s="43"/>
      <c r="N421" s="44"/>
      <c r="O421" s="45"/>
      <c r="P421" s="46" t="str">
        <f>IFERROR(__xludf.DUMMYFUNCTION("IF(OR(AND(C421&lt;&gt;"""", LEN(C421)&lt;3), LEN(C421)&gt;60, AND(D421&lt;&gt;"""", NOT(ISNUMBER(D421))), AND(ISNUMBER(D421), OR(D421&lt;0.01, D421&gt;999999999)), AND(COUNTA(D421:F421, H421:N421)&gt;0, C421=""""),                  
  AND(COUNTA(C421, H421:N421)&gt;0, D421=""""), LEN("&amp;"H421)&gt;50, AND(I421&lt;&gt;"""", NOT(ISNUMBER(I421))), AND(ISNUMBER(I421), OR(I421&lt;0, I421&gt;99998)), AND(L421&lt;&gt;"""", NOT(REGEXMATCH(L421&amp;"""", ""^\d{8,14}$"")))), ""Erro"", """")"),"")</f>
      </c>
    </row>
    <row r="422" ht="15.75" customHeight="true">
      <c r="A422" s="33"/>
      <c r="B422" s="34" t="str">
        <f t="shared" si="1"/>
      </c>
      <c r="C422" s="35"/>
      <c r="D422" s="36"/>
      <c r="E422" s="37"/>
      <c r="F422" s="38"/>
      <c r="G422" s="39" t="str">
        <f t="shared" si="2"/>
      </c>
      <c r="H422" s="40"/>
      <c r="I422" s="41"/>
      <c r="J422" s="41"/>
      <c r="K422" s="41"/>
      <c r="L422" s="42"/>
      <c r="M422" s="43"/>
      <c r="N422" s="44"/>
      <c r="O422" s="45"/>
      <c r="P422" s="46" t="str">
        <f>IFERROR(__xludf.DUMMYFUNCTION("IF(OR(AND(C422&lt;&gt;"""", LEN(C422)&lt;3), LEN(C422)&gt;60, AND(D422&lt;&gt;"""", NOT(ISNUMBER(D422))), AND(ISNUMBER(D422), OR(D422&lt;0.01, D422&gt;999999999)), AND(COUNTA(D422:F422, H422:N422)&gt;0, C422=""""),                  
  AND(COUNTA(C422, H422:N422)&gt;0, D422=""""), LEN("&amp;"H422)&gt;50, AND(I422&lt;&gt;"""", NOT(ISNUMBER(I422))), AND(ISNUMBER(I422), OR(I422&lt;0, I422&gt;99998)), AND(L422&lt;&gt;"""", NOT(REGEXMATCH(L422&amp;"""", ""^\d{8,14}$"")))), ""Erro"", """")"),"")</f>
      </c>
    </row>
    <row r="423" ht="15.75" customHeight="true">
      <c r="A423" s="33"/>
      <c r="B423" s="34" t="str">
        <f t="shared" si="1"/>
      </c>
      <c r="C423" s="35"/>
      <c r="D423" s="36"/>
      <c r="E423" s="37"/>
      <c r="F423" s="38"/>
      <c r="G423" s="39" t="str">
        <f t="shared" si="2"/>
      </c>
      <c r="H423" s="40"/>
      <c r="I423" s="41"/>
      <c r="J423" s="41"/>
      <c r="K423" s="41"/>
      <c r="L423" s="42"/>
      <c r="M423" s="43"/>
      <c r="N423" s="44"/>
      <c r="O423" s="45"/>
      <c r="P423" s="46" t="str">
        <f>IFERROR(__xludf.DUMMYFUNCTION("IF(OR(AND(C423&lt;&gt;"""", LEN(C423)&lt;3), LEN(C423)&gt;60, AND(D423&lt;&gt;"""", NOT(ISNUMBER(D423))), AND(ISNUMBER(D423), OR(D423&lt;0.01, D423&gt;999999999)), AND(COUNTA(D423:F423, H423:N423)&gt;0, C423=""""),                  
  AND(COUNTA(C423, H423:N423)&gt;0, D423=""""), LEN("&amp;"H423)&gt;50, AND(I423&lt;&gt;"""", NOT(ISNUMBER(I423))), AND(ISNUMBER(I423), OR(I423&lt;0, I423&gt;99998)), AND(L423&lt;&gt;"""", NOT(REGEXMATCH(L423&amp;"""", ""^\d{8,14}$"")))), ""Erro"", """")"),"")</f>
      </c>
    </row>
    <row r="424" ht="15.75" customHeight="true">
      <c r="A424" s="33"/>
      <c r="B424" s="34" t="str">
        <f t="shared" si="1"/>
      </c>
      <c r="C424" s="35"/>
      <c r="D424" s="36"/>
      <c r="E424" s="37"/>
      <c r="F424" s="38"/>
      <c r="G424" s="39" t="str">
        <f t="shared" si="2"/>
      </c>
      <c r="H424" s="40"/>
      <c r="I424" s="41"/>
      <c r="J424" s="41"/>
      <c r="K424" s="41"/>
      <c r="L424" s="42"/>
      <c r="M424" s="43"/>
      <c r="N424" s="44"/>
      <c r="O424" s="45"/>
      <c r="P424" s="46" t="str">
        <f>IFERROR(__xludf.DUMMYFUNCTION("IF(OR(AND(C424&lt;&gt;"""", LEN(C424)&lt;3), LEN(C424)&gt;60, AND(D424&lt;&gt;"""", NOT(ISNUMBER(D424))), AND(ISNUMBER(D424), OR(D424&lt;0.01, D424&gt;999999999)), AND(COUNTA(D424:F424, H424:N424)&gt;0, C424=""""),                  
  AND(COUNTA(C424, H424:N424)&gt;0, D424=""""), LEN("&amp;"H424)&gt;50, AND(I424&lt;&gt;"""", NOT(ISNUMBER(I424))), AND(ISNUMBER(I424), OR(I424&lt;0, I424&gt;99998)), AND(L424&lt;&gt;"""", NOT(REGEXMATCH(L424&amp;"""", ""^\d{8,14}$"")))), ""Erro"", """")"),"")</f>
      </c>
    </row>
    <row r="425" ht="15.75" customHeight="true">
      <c r="A425" s="33"/>
      <c r="B425" s="34" t="str">
        <f t="shared" si="1"/>
      </c>
      <c r="C425" s="35"/>
      <c r="D425" s="36"/>
      <c r="E425" s="37"/>
      <c r="F425" s="38"/>
      <c r="G425" s="39" t="str">
        <f t="shared" si="2"/>
      </c>
      <c r="H425" s="40"/>
      <c r="I425" s="41"/>
      <c r="J425" s="41"/>
      <c r="K425" s="41"/>
      <c r="L425" s="42"/>
      <c r="M425" s="43"/>
      <c r="N425" s="44"/>
      <c r="O425" s="45"/>
      <c r="P425" s="46" t="str">
        <f>IFERROR(__xludf.DUMMYFUNCTION("IF(OR(AND(C425&lt;&gt;"""", LEN(C425)&lt;3), LEN(C425)&gt;60, AND(D425&lt;&gt;"""", NOT(ISNUMBER(D425))), AND(ISNUMBER(D425), OR(D425&lt;0.01, D425&gt;999999999)), AND(COUNTA(D425:F425, H425:N425)&gt;0, C425=""""),                  
  AND(COUNTA(C425, H425:N425)&gt;0, D425=""""), LEN("&amp;"H425)&gt;50, AND(I425&lt;&gt;"""", NOT(ISNUMBER(I425))), AND(ISNUMBER(I425), OR(I425&lt;0, I425&gt;99998)), AND(L425&lt;&gt;"""", NOT(REGEXMATCH(L425&amp;"""", ""^\d{8,14}$"")))), ""Erro"", """")"),"")</f>
      </c>
    </row>
    <row r="426" ht="15.75" customHeight="true">
      <c r="A426" s="33"/>
      <c r="B426" s="34" t="str">
        <f t="shared" si="1"/>
      </c>
      <c r="C426" s="35"/>
      <c r="D426" s="36"/>
      <c r="E426" s="37"/>
      <c r="F426" s="38"/>
      <c r="G426" s="39" t="str">
        <f t="shared" si="2"/>
      </c>
      <c r="H426" s="40"/>
      <c r="I426" s="41"/>
      <c r="J426" s="41"/>
      <c r="K426" s="41"/>
      <c r="L426" s="42"/>
      <c r="M426" s="43"/>
      <c r="N426" s="44"/>
      <c r="O426" s="45"/>
      <c r="P426" s="46" t="str">
        <f>IFERROR(__xludf.DUMMYFUNCTION("IF(OR(AND(C426&lt;&gt;"""", LEN(C426)&lt;3), LEN(C426)&gt;60, AND(D426&lt;&gt;"""", NOT(ISNUMBER(D426))), AND(ISNUMBER(D426), OR(D426&lt;0.01, D426&gt;999999999)), AND(COUNTA(D426:F426, H426:N426)&gt;0, C426=""""),                  
  AND(COUNTA(C426, H426:N426)&gt;0, D426=""""), LEN("&amp;"H426)&gt;50, AND(I426&lt;&gt;"""", NOT(ISNUMBER(I426))), AND(ISNUMBER(I426), OR(I426&lt;0, I426&gt;99998)), AND(L426&lt;&gt;"""", NOT(REGEXMATCH(L426&amp;"""", ""^\d{8,14}$"")))), ""Erro"", """")"),"")</f>
      </c>
    </row>
    <row r="427" ht="15.75" customHeight="true">
      <c r="A427" s="33"/>
      <c r="B427" s="34" t="str">
        <f t="shared" si="1"/>
      </c>
      <c r="C427" s="35"/>
      <c r="D427" s="36"/>
      <c r="E427" s="37"/>
      <c r="F427" s="38"/>
      <c r="G427" s="39" t="str">
        <f t="shared" si="2"/>
      </c>
      <c r="H427" s="40"/>
      <c r="I427" s="41"/>
      <c r="J427" s="41"/>
      <c r="K427" s="41"/>
      <c r="L427" s="42"/>
      <c r="M427" s="43"/>
      <c r="N427" s="44"/>
      <c r="O427" s="45"/>
      <c r="P427" s="46" t="str">
        <f>IFERROR(__xludf.DUMMYFUNCTION("IF(OR(AND(C427&lt;&gt;"""", LEN(C427)&lt;3), LEN(C427)&gt;60, AND(D427&lt;&gt;"""", NOT(ISNUMBER(D427))), AND(ISNUMBER(D427), OR(D427&lt;0.01, D427&gt;999999999)), AND(COUNTA(D427:F427, H427:N427)&gt;0, C427=""""),                  
  AND(COUNTA(C427, H427:N427)&gt;0, D427=""""), LEN("&amp;"H427)&gt;50, AND(I427&lt;&gt;"""", NOT(ISNUMBER(I427))), AND(ISNUMBER(I427), OR(I427&lt;0, I427&gt;99998)), AND(L427&lt;&gt;"""", NOT(REGEXMATCH(L427&amp;"""", ""^\d{8,14}$"")))), ""Erro"", """")"),"")</f>
      </c>
    </row>
    <row r="428" ht="15.75" customHeight="true">
      <c r="A428" s="33"/>
      <c r="B428" s="34" t="str">
        <f t="shared" si="1"/>
      </c>
      <c r="C428" s="35"/>
      <c r="D428" s="36"/>
      <c r="E428" s="37"/>
      <c r="F428" s="38"/>
      <c r="G428" s="39" t="str">
        <f t="shared" si="2"/>
      </c>
      <c r="H428" s="40"/>
      <c r="I428" s="41"/>
      <c r="J428" s="41"/>
      <c r="K428" s="41"/>
      <c r="L428" s="42"/>
      <c r="M428" s="43"/>
      <c r="N428" s="44"/>
      <c r="O428" s="45"/>
      <c r="P428" s="46" t="str">
        <f>IFERROR(__xludf.DUMMYFUNCTION("IF(OR(AND(C428&lt;&gt;"""", LEN(C428)&lt;3), LEN(C428)&gt;60, AND(D428&lt;&gt;"""", NOT(ISNUMBER(D428))), AND(ISNUMBER(D428), OR(D428&lt;0.01, D428&gt;999999999)), AND(COUNTA(D428:F428, H428:N428)&gt;0, C428=""""),                  
  AND(COUNTA(C428, H428:N428)&gt;0, D428=""""), LEN("&amp;"H428)&gt;50, AND(I428&lt;&gt;"""", NOT(ISNUMBER(I428))), AND(ISNUMBER(I428), OR(I428&lt;0, I428&gt;99998)), AND(L428&lt;&gt;"""", NOT(REGEXMATCH(L428&amp;"""", ""^\d{8,14}$"")))), ""Erro"", """")"),"")</f>
      </c>
    </row>
    <row r="429" ht="15.75" customHeight="true">
      <c r="A429" s="33"/>
      <c r="B429" s="34" t="str">
        <f t="shared" si="1"/>
      </c>
      <c r="C429" s="35"/>
      <c r="D429" s="36"/>
      <c r="E429" s="37"/>
      <c r="F429" s="38"/>
      <c r="G429" s="39" t="str">
        <f t="shared" si="2"/>
      </c>
      <c r="H429" s="40"/>
      <c r="I429" s="41"/>
      <c r="J429" s="41"/>
      <c r="K429" s="41"/>
      <c r="L429" s="42"/>
      <c r="M429" s="43"/>
      <c r="N429" s="44"/>
      <c r="O429" s="45"/>
      <c r="P429" s="46" t="str">
        <f>IFERROR(__xludf.DUMMYFUNCTION("IF(OR(AND(C429&lt;&gt;"""", LEN(C429)&lt;3), LEN(C429)&gt;60, AND(D429&lt;&gt;"""", NOT(ISNUMBER(D429))), AND(ISNUMBER(D429), OR(D429&lt;0.01, D429&gt;999999999)), AND(COUNTA(D429:F429, H429:N429)&gt;0, C429=""""),                  
  AND(COUNTA(C429, H429:N429)&gt;0, D429=""""), LEN("&amp;"H429)&gt;50, AND(I429&lt;&gt;"""", NOT(ISNUMBER(I429))), AND(ISNUMBER(I429), OR(I429&lt;0, I429&gt;99998)), AND(L429&lt;&gt;"""", NOT(REGEXMATCH(L429&amp;"""", ""^\d{8,14}$"")))), ""Erro"", """")"),"")</f>
      </c>
    </row>
    <row r="430" ht="15.75" customHeight="true">
      <c r="A430" s="33"/>
      <c r="B430" s="34" t="str">
        <f t="shared" si="1"/>
      </c>
      <c r="C430" s="35"/>
      <c r="D430" s="36"/>
      <c r="E430" s="37"/>
      <c r="F430" s="38"/>
      <c r="G430" s="39" t="str">
        <f t="shared" si="2"/>
      </c>
      <c r="H430" s="40"/>
      <c r="I430" s="41"/>
      <c r="J430" s="41"/>
      <c r="K430" s="41"/>
      <c r="L430" s="42"/>
      <c r="M430" s="43"/>
      <c r="N430" s="44"/>
      <c r="O430" s="45"/>
      <c r="P430" s="46" t="str">
        <f>IFERROR(__xludf.DUMMYFUNCTION("IF(OR(AND(C430&lt;&gt;"""", LEN(C430)&lt;3), LEN(C430)&gt;60, AND(D430&lt;&gt;"""", NOT(ISNUMBER(D430))), AND(ISNUMBER(D430), OR(D430&lt;0.01, D430&gt;999999999)), AND(COUNTA(D430:F430, H430:N430)&gt;0, C430=""""),                  
  AND(COUNTA(C430, H430:N430)&gt;0, D430=""""), LEN("&amp;"H430)&gt;50, AND(I430&lt;&gt;"""", NOT(ISNUMBER(I430))), AND(ISNUMBER(I430), OR(I430&lt;0, I430&gt;99998)), AND(L430&lt;&gt;"""", NOT(REGEXMATCH(L430&amp;"""", ""^\d{8,14}$"")))), ""Erro"", """")"),"")</f>
      </c>
    </row>
    <row r="431" ht="15.75" customHeight="true">
      <c r="A431" s="33"/>
      <c r="B431" s="34" t="str">
        <f t="shared" si="1"/>
      </c>
      <c r="C431" s="35"/>
      <c r="D431" s="36"/>
      <c r="E431" s="37"/>
      <c r="F431" s="38"/>
      <c r="G431" s="39" t="str">
        <f t="shared" si="2"/>
      </c>
      <c r="H431" s="40"/>
      <c r="I431" s="41"/>
      <c r="J431" s="41"/>
      <c r="K431" s="41"/>
      <c r="L431" s="42"/>
      <c r="M431" s="43"/>
      <c r="N431" s="44"/>
      <c r="O431" s="45"/>
      <c r="P431" s="46" t="str">
        <f>IFERROR(__xludf.DUMMYFUNCTION("IF(OR(AND(C431&lt;&gt;"""", LEN(C431)&lt;3), LEN(C431)&gt;60, AND(D431&lt;&gt;"""", NOT(ISNUMBER(D431))), AND(ISNUMBER(D431), OR(D431&lt;0.01, D431&gt;999999999)), AND(COUNTA(D431:F431, H431:N431)&gt;0, C431=""""),                  
  AND(COUNTA(C431, H431:N431)&gt;0, D431=""""), LEN("&amp;"H431)&gt;50, AND(I431&lt;&gt;"""", NOT(ISNUMBER(I431))), AND(ISNUMBER(I431), OR(I431&lt;0, I431&gt;99998)), AND(L431&lt;&gt;"""", NOT(REGEXMATCH(L431&amp;"""", ""^\d{8,14}$"")))), ""Erro"", """")"),"")</f>
      </c>
    </row>
    <row r="432" ht="15.75" customHeight="true">
      <c r="A432" s="33"/>
      <c r="B432" s="34" t="str">
        <f t="shared" si="1"/>
      </c>
      <c r="C432" s="35"/>
      <c r="D432" s="36"/>
      <c r="E432" s="37"/>
      <c r="F432" s="38"/>
      <c r="G432" s="39" t="str">
        <f t="shared" si="2"/>
      </c>
      <c r="H432" s="40"/>
      <c r="I432" s="41"/>
      <c r="J432" s="41"/>
      <c r="K432" s="41"/>
      <c r="L432" s="42"/>
      <c r="M432" s="43"/>
      <c r="N432" s="44"/>
      <c r="O432" s="45"/>
      <c r="P432" s="46" t="str">
        <f>IFERROR(__xludf.DUMMYFUNCTION("IF(OR(AND(C432&lt;&gt;"""", LEN(C432)&lt;3), LEN(C432)&gt;60, AND(D432&lt;&gt;"""", NOT(ISNUMBER(D432))), AND(ISNUMBER(D432), OR(D432&lt;0.01, D432&gt;999999999)), AND(COUNTA(D432:F432, H432:N432)&gt;0, C432=""""),                  
  AND(COUNTA(C432, H432:N432)&gt;0, D432=""""), LEN("&amp;"H432)&gt;50, AND(I432&lt;&gt;"""", NOT(ISNUMBER(I432))), AND(ISNUMBER(I432), OR(I432&lt;0, I432&gt;99998)), AND(L432&lt;&gt;"""", NOT(REGEXMATCH(L432&amp;"""", ""^\d{8,14}$"")))), ""Erro"", """")"),"")</f>
      </c>
    </row>
    <row r="433" ht="15.75" customHeight="true">
      <c r="A433" s="33"/>
      <c r="B433" s="34" t="str">
        <f t="shared" si="1"/>
      </c>
      <c r="C433" s="35"/>
      <c r="D433" s="36"/>
      <c r="E433" s="37"/>
      <c r="F433" s="38"/>
      <c r="G433" s="39" t="str">
        <f t="shared" si="2"/>
      </c>
      <c r="H433" s="40"/>
      <c r="I433" s="41"/>
      <c r="J433" s="41"/>
      <c r="K433" s="41"/>
      <c r="L433" s="42"/>
      <c r="M433" s="43"/>
      <c r="N433" s="44"/>
      <c r="O433" s="45"/>
      <c r="P433" s="46" t="str">
        <f>IFERROR(__xludf.DUMMYFUNCTION("IF(OR(AND(C433&lt;&gt;"""", LEN(C433)&lt;3), LEN(C433)&gt;60, AND(D433&lt;&gt;"""", NOT(ISNUMBER(D433))), AND(ISNUMBER(D433), OR(D433&lt;0.01, D433&gt;999999999)), AND(COUNTA(D433:F433, H433:N433)&gt;0, C433=""""),                  
  AND(COUNTA(C433, H433:N433)&gt;0, D433=""""), LEN("&amp;"H433)&gt;50, AND(I433&lt;&gt;"""", NOT(ISNUMBER(I433))), AND(ISNUMBER(I433), OR(I433&lt;0, I433&gt;99998)), AND(L433&lt;&gt;"""", NOT(REGEXMATCH(L433&amp;"""", ""^\d{8,14}$"")))), ""Erro"", """")"),"")</f>
      </c>
    </row>
    <row r="434" ht="15.75" customHeight="true">
      <c r="A434" s="33"/>
      <c r="B434" s="34" t="str">
        <f t="shared" si="1"/>
      </c>
      <c r="C434" s="35"/>
      <c r="D434" s="36"/>
      <c r="E434" s="37"/>
      <c r="F434" s="38"/>
      <c r="G434" s="39" t="str">
        <f t="shared" si="2"/>
      </c>
      <c r="H434" s="40"/>
      <c r="I434" s="41"/>
      <c r="J434" s="41"/>
      <c r="K434" s="41"/>
      <c r="L434" s="42"/>
      <c r="M434" s="43"/>
      <c r="N434" s="44"/>
      <c r="O434" s="45"/>
      <c r="P434" s="46" t="str">
        <f>IFERROR(__xludf.DUMMYFUNCTION("IF(OR(AND(C434&lt;&gt;"""", LEN(C434)&lt;3), LEN(C434)&gt;60, AND(D434&lt;&gt;"""", NOT(ISNUMBER(D434))), AND(ISNUMBER(D434), OR(D434&lt;0.01, D434&gt;999999999)), AND(COUNTA(D434:F434, H434:N434)&gt;0, C434=""""),                  
  AND(COUNTA(C434, H434:N434)&gt;0, D434=""""), LEN("&amp;"H434)&gt;50, AND(I434&lt;&gt;"""", NOT(ISNUMBER(I434))), AND(ISNUMBER(I434), OR(I434&lt;0, I434&gt;99998)), AND(L434&lt;&gt;"""", NOT(REGEXMATCH(L434&amp;"""", ""^\d{8,14}$"")))), ""Erro"", """")"),"")</f>
      </c>
    </row>
    <row r="435" ht="15.75" customHeight="true">
      <c r="A435" s="33"/>
      <c r="B435" s="34" t="str">
        <f t="shared" si="1"/>
      </c>
      <c r="C435" s="35"/>
      <c r="D435" s="36"/>
      <c r="E435" s="37"/>
      <c r="F435" s="38"/>
      <c r="G435" s="39" t="str">
        <f t="shared" si="2"/>
      </c>
      <c r="H435" s="40"/>
      <c r="I435" s="41"/>
      <c r="J435" s="41"/>
      <c r="K435" s="41"/>
      <c r="L435" s="42"/>
      <c r="M435" s="43"/>
      <c r="N435" s="44"/>
      <c r="O435" s="45"/>
      <c r="P435" s="46" t="str">
        <f>IFERROR(__xludf.DUMMYFUNCTION("IF(OR(AND(C435&lt;&gt;"""", LEN(C435)&lt;3), LEN(C435)&gt;60, AND(D435&lt;&gt;"""", NOT(ISNUMBER(D435))), AND(ISNUMBER(D435), OR(D435&lt;0.01, D435&gt;999999999)), AND(COUNTA(D435:F435, H435:N435)&gt;0, C435=""""),                  
  AND(COUNTA(C435, H435:N435)&gt;0, D435=""""), LEN("&amp;"H435)&gt;50, AND(I435&lt;&gt;"""", NOT(ISNUMBER(I435))), AND(ISNUMBER(I435), OR(I435&lt;0, I435&gt;99998)), AND(L435&lt;&gt;"""", NOT(REGEXMATCH(L435&amp;"""", ""^\d{8,14}$"")))), ""Erro"", """")"),"")</f>
      </c>
    </row>
    <row r="436" ht="15.75" customHeight="true">
      <c r="A436" s="33"/>
      <c r="B436" s="34" t="str">
        <f t="shared" si="1"/>
      </c>
      <c r="C436" s="35"/>
      <c r="D436" s="36"/>
      <c r="E436" s="37"/>
      <c r="F436" s="38"/>
      <c r="G436" s="39" t="str">
        <f t="shared" si="2"/>
      </c>
      <c r="H436" s="40"/>
      <c r="I436" s="41"/>
      <c r="J436" s="41"/>
      <c r="K436" s="41"/>
      <c r="L436" s="42"/>
      <c r="M436" s="43"/>
      <c r="N436" s="44"/>
      <c r="O436" s="45"/>
      <c r="P436" s="46" t="str">
        <f>IFERROR(__xludf.DUMMYFUNCTION("IF(OR(AND(C436&lt;&gt;"""", LEN(C436)&lt;3), LEN(C436)&gt;60, AND(D436&lt;&gt;"""", NOT(ISNUMBER(D436))), AND(ISNUMBER(D436), OR(D436&lt;0.01, D436&gt;999999999)), AND(COUNTA(D436:F436, H436:N436)&gt;0, C436=""""),                  
  AND(COUNTA(C436, H436:N436)&gt;0, D436=""""), LEN("&amp;"H436)&gt;50, AND(I436&lt;&gt;"""", NOT(ISNUMBER(I436))), AND(ISNUMBER(I436), OR(I436&lt;0, I436&gt;99998)), AND(L436&lt;&gt;"""", NOT(REGEXMATCH(L436&amp;"""", ""^\d{8,14}$"")))), ""Erro"", """")"),"")</f>
      </c>
    </row>
    <row r="437" ht="15.75" customHeight="true">
      <c r="A437" s="33"/>
      <c r="B437" s="34" t="str">
        <f t="shared" si="1"/>
      </c>
      <c r="C437" s="35"/>
      <c r="D437" s="36"/>
      <c r="E437" s="37"/>
      <c r="F437" s="38"/>
      <c r="G437" s="39" t="str">
        <f t="shared" si="2"/>
      </c>
      <c r="H437" s="40"/>
      <c r="I437" s="41"/>
      <c r="J437" s="41"/>
      <c r="K437" s="41"/>
      <c r="L437" s="42"/>
      <c r="M437" s="43"/>
      <c r="N437" s="44"/>
      <c r="O437" s="45"/>
      <c r="P437" s="46" t="str">
        <f>IFERROR(__xludf.DUMMYFUNCTION("IF(OR(AND(C437&lt;&gt;"""", LEN(C437)&lt;3), LEN(C437)&gt;60, AND(D437&lt;&gt;"""", NOT(ISNUMBER(D437))), AND(ISNUMBER(D437), OR(D437&lt;0.01, D437&gt;999999999)), AND(COUNTA(D437:F437, H437:N437)&gt;0, C437=""""),                  
  AND(COUNTA(C437, H437:N437)&gt;0, D437=""""), LEN("&amp;"H437)&gt;50, AND(I437&lt;&gt;"""", NOT(ISNUMBER(I437))), AND(ISNUMBER(I437), OR(I437&lt;0, I437&gt;99998)), AND(L437&lt;&gt;"""", NOT(REGEXMATCH(L437&amp;"""", ""^\d{8,14}$"")))), ""Erro"", """")"),"")</f>
      </c>
    </row>
    <row r="438" ht="15.75" customHeight="true">
      <c r="A438" s="33"/>
      <c r="B438" s="34" t="str">
        <f t="shared" si="1"/>
      </c>
      <c r="C438" s="35"/>
      <c r="D438" s="36"/>
      <c r="E438" s="37"/>
      <c r="F438" s="38"/>
      <c r="G438" s="39" t="str">
        <f t="shared" si="2"/>
      </c>
      <c r="H438" s="40"/>
      <c r="I438" s="41"/>
      <c r="J438" s="41"/>
      <c r="K438" s="41"/>
      <c r="L438" s="42"/>
      <c r="M438" s="43"/>
      <c r="N438" s="44"/>
      <c r="O438" s="45"/>
      <c r="P438" s="46" t="str">
        <f>IFERROR(__xludf.DUMMYFUNCTION("IF(OR(AND(C438&lt;&gt;"""", LEN(C438)&lt;3), LEN(C438)&gt;60, AND(D438&lt;&gt;"""", NOT(ISNUMBER(D438))), AND(ISNUMBER(D438), OR(D438&lt;0.01, D438&gt;999999999)), AND(COUNTA(D438:F438, H438:N438)&gt;0, C438=""""),                  
  AND(COUNTA(C438, H438:N438)&gt;0, D438=""""), LEN("&amp;"H438)&gt;50, AND(I438&lt;&gt;"""", NOT(ISNUMBER(I438))), AND(ISNUMBER(I438), OR(I438&lt;0, I438&gt;99998)), AND(L438&lt;&gt;"""", NOT(REGEXMATCH(L438&amp;"""", ""^\d{8,14}$"")))), ""Erro"", """")"),"")</f>
      </c>
    </row>
    <row r="439" ht="15.75" customHeight="true">
      <c r="A439" s="33"/>
      <c r="B439" s="34" t="str">
        <f t="shared" si="1"/>
      </c>
      <c r="C439" s="35"/>
      <c r="D439" s="36"/>
      <c r="E439" s="37"/>
      <c r="F439" s="38"/>
      <c r="G439" s="39" t="str">
        <f t="shared" si="2"/>
      </c>
      <c r="H439" s="40"/>
      <c r="I439" s="41"/>
      <c r="J439" s="41"/>
      <c r="K439" s="41"/>
      <c r="L439" s="42"/>
      <c r="M439" s="43"/>
      <c r="N439" s="44"/>
      <c r="O439" s="45"/>
      <c r="P439" s="46" t="str">
        <f>IFERROR(__xludf.DUMMYFUNCTION("IF(OR(AND(C439&lt;&gt;"""", LEN(C439)&lt;3), LEN(C439)&gt;60, AND(D439&lt;&gt;"""", NOT(ISNUMBER(D439))), AND(ISNUMBER(D439), OR(D439&lt;0.01, D439&gt;999999999)), AND(COUNTA(D439:F439, H439:N439)&gt;0, C439=""""),                  
  AND(COUNTA(C439, H439:N439)&gt;0, D439=""""), LEN("&amp;"H439)&gt;50, AND(I439&lt;&gt;"""", NOT(ISNUMBER(I439))), AND(ISNUMBER(I439), OR(I439&lt;0, I439&gt;99998)), AND(L439&lt;&gt;"""", NOT(REGEXMATCH(L439&amp;"""", ""^\d{8,14}$"")))), ""Erro"", """")"),"")</f>
      </c>
    </row>
    <row r="440" ht="15.75" customHeight="true">
      <c r="A440" s="33"/>
      <c r="B440" s="34" t="str">
        <f t="shared" si="1"/>
      </c>
      <c r="C440" s="35"/>
      <c r="D440" s="36"/>
      <c r="E440" s="37"/>
      <c r="F440" s="38"/>
      <c r="G440" s="39" t="str">
        <f t="shared" si="2"/>
      </c>
      <c r="H440" s="40"/>
      <c r="I440" s="41"/>
      <c r="J440" s="41"/>
      <c r="K440" s="41"/>
      <c r="L440" s="42"/>
      <c r="M440" s="43"/>
      <c r="N440" s="44"/>
      <c r="O440" s="45"/>
      <c r="P440" s="46" t="str">
        <f>IFERROR(__xludf.DUMMYFUNCTION("IF(OR(AND(C440&lt;&gt;"""", LEN(C440)&lt;3), LEN(C440)&gt;60, AND(D440&lt;&gt;"""", NOT(ISNUMBER(D440))), AND(ISNUMBER(D440), OR(D440&lt;0.01, D440&gt;999999999)), AND(COUNTA(D440:F440, H440:N440)&gt;0, C440=""""),                  
  AND(COUNTA(C440, H440:N440)&gt;0, D440=""""), LEN("&amp;"H440)&gt;50, AND(I440&lt;&gt;"""", NOT(ISNUMBER(I440))), AND(ISNUMBER(I440), OR(I440&lt;0, I440&gt;99998)), AND(L440&lt;&gt;"""", NOT(REGEXMATCH(L440&amp;"""", ""^\d{8,14}$"")))), ""Erro"", """")"),"")</f>
      </c>
    </row>
    <row r="441" ht="15.75" customHeight="true">
      <c r="A441" s="33"/>
      <c r="B441" s="34" t="str">
        <f t="shared" si="1"/>
      </c>
      <c r="C441" s="35"/>
      <c r="D441" s="36"/>
      <c r="E441" s="37"/>
      <c r="F441" s="38"/>
      <c r="G441" s="39" t="str">
        <f t="shared" si="2"/>
      </c>
      <c r="H441" s="40"/>
      <c r="I441" s="41"/>
      <c r="J441" s="41"/>
      <c r="K441" s="41"/>
      <c r="L441" s="42"/>
      <c r="M441" s="43"/>
      <c r="N441" s="44"/>
      <c r="O441" s="45"/>
      <c r="P441" s="46" t="str">
        <f>IFERROR(__xludf.DUMMYFUNCTION("IF(OR(AND(C441&lt;&gt;"""", LEN(C441)&lt;3), LEN(C441)&gt;60, AND(D441&lt;&gt;"""", NOT(ISNUMBER(D441))), AND(ISNUMBER(D441), OR(D441&lt;0.01, D441&gt;999999999)), AND(COUNTA(D441:F441, H441:N441)&gt;0, C441=""""),                  
  AND(COUNTA(C441, H441:N441)&gt;0, D441=""""), LEN("&amp;"H441)&gt;50, AND(I441&lt;&gt;"""", NOT(ISNUMBER(I441))), AND(ISNUMBER(I441), OR(I441&lt;0, I441&gt;99998)), AND(L441&lt;&gt;"""", NOT(REGEXMATCH(L441&amp;"""", ""^\d{8,14}$"")))), ""Erro"", """")"),"")</f>
      </c>
    </row>
    <row r="442" ht="15.75" customHeight="true">
      <c r="A442" s="33"/>
      <c r="B442" s="34" t="str">
        <f t="shared" si="1"/>
      </c>
      <c r="C442" s="35"/>
      <c r="D442" s="36"/>
      <c r="E442" s="37"/>
      <c r="F442" s="38"/>
      <c r="G442" s="39" t="str">
        <f t="shared" si="2"/>
      </c>
      <c r="H442" s="40"/>
      <c r="I442" s="41"/>
      <c r="J442" s="41"/>
      <c r="K442" s="41"/>
      <c r="L442" s="42"/>
      <c r="M442" s="43"/>
      <c r="N442" s="44"/>
      <c r="O442" s="45"/>
      <c r="P442" s="46" t="str">
        <f>IFERROR(__xludf.DUMMYFUNCTION("IF(OR(AND(C442&lt;&gt;"""", LEN(C442)&lt;3), LEN(C442)&gt;60, AND(D442&lt;&gt;"""", NOT(ISNUMBER(D442))), AND(ISNUMBER(D442), OR(D442&lt;0.01, D442&gt;999999999)), AND(COUNTA(D442:F442, H442:N442)&gt;0, C442=""""),                  
  AND(COUNTA(C442, H442:N442)&gt;0, D442=""""), LEN("&amp;"H442)&gt;50, AND(I442&lt;&gt;"""", NOT(ISNUMBER(I442))), AND(ISNUMBER(I442), OR(I442&lt;0, I442&gt;99998)), AND(L442&lt;&gt;"""", NOT(REGEXMATCH(L442&amp;"""", ""^\d{8,14}$"")))), ""Erro"", """")"),"")</f>
      </c>
    </row>
    <row r="443" ht="15.75" customHeight="true">
      <c r="A443" s="33"/>
      <c r="B443" s="34" t="str">
        <f t="shared" si="1"/>
      </c>
      <c r="C443" s="35"/>
      <c r="D443" s="36"/>
      <c r="E443" s="37"/>
      <c r="F443" s="38"/>
      <c r="G443" s="39" t="str">
        <f t="shared" si="2"/>
      </c>
      <c r="H443" s="40"/>
      <c r="I443" s="41"/>
      <c r="J443" s="41"/>
      <c r="K443" s="41"/>
      <c r="L443" s="42"/>
      <c r="M443" s="43"/>
      <c r="N443" s="44"/>
      <c r="O443" s="45"/>
      <c r="P443" s="46" t="str">
        <f>IFERROR(__xludf.DUMMYFUNCTION("IF(OR(AND(C443&lt;&gt;"""", LEN(C443)&lt;3), LEN(C443)&gt;60, AND(D443&lt;&gt;"""", NOT(ISNUMBER(D443))), AND(ISNUMBER(D443), OR(D443&lt;0.01, D443&gt;999999999)), AND(COUNTA(D443:F443, H443:N443)&gt;0, C443=""""),                  
  AND(COUNTA(C443, H443:N443)&gt;0, D443=""""), LEN("&amp;"H443)&gt;50, AND(I443&lt;&gt;"""", NOT(ISNUMBER(I443))), AND(ISNUMBER(I443), OR(I443&lt;0, I443&gt;99998)), AND(L443&lt;&gt;"""", NOT(REGEXMATCH(L443&amp;"""", ""^\d{8,14}$"")))), ""Erro"", """")"),"")</f>
      </c>
    </row>
    <row r="444" ht="15.75" customHeight="true">
      <c r="A444" s="33"/>
      <c r="B444" s="34" t="str">
        <f t="shared" si="1"/>
      </c>
      <c r="C444" s="35"/>
      <c r="D444" s="36"/>
      <c r="E444" s="37"/>
      <c r="F444" s="38"/>
      <c r="G444" s="39" t="str">
        <f t="shared" si="2"/>
      </c>
      <c r="H444" s="40"/>
      <c r="I444" s="41"/>
      <c r="J444" s="41"/>
      <c r="K444" s="41"/>
      <c r="L444" s="42"/>
      <c r="M444" s="43"/>
      <c r="N444" s="44"/>
      <c r="O444" s="45"/>
      <c r="P444" s="46" t="str">
        <f>IFERROR(__xludf.DUMMYFUNCTION("IF(OR(AND(C444&lt;&gt;"""", LEN(C444)&lt;3), LEN(C444)&gt;60, AND(D444&lt;&gt;"""", NOT(ISNUMBER(D444))), AND(ISNUMBER(D444), OR(D444&lt;0.01, D444&gt;999999999)), AND(COUNTA(D444:F444, H444:N444)&gt;0, C444=""""),                  
  AND(COUNTA(C444, H444:N444)&gt;0, D444=""""), LEN("&amp;"H444)&gt;50, AND(I444&lt;&gt;"""", NOT(ISNUMBER(I444))), AND(ISNUMBER(I444), OR(I444&lt;0, I444&gt;99998)), AND(L444&lt;&gt;"""", NOT(REGEXMATCH(L444&amp;"""", ""^\d{8,14}$"")))), ""Erro"", """")"),"")</f>
      </c>
    </row>
    <row r="445" ht="15.75" customHeight="true">
      <c r="A445" s="33"/>
      <c r="B445" s="34" t="str">
        <f t="shared" si="1"/>
      </c>
      <c r="C445" s="35"/>
      <c r="D445" s="36"/>
      <c r="E445" s="37"/>
      <c r="F445" s="38"/>
      <c r="G445" s="39" t="str">
        <f t="shared" si="2"/>
      </c>
      <c r="H445" s="40"/>
      <c r="I445" s="41"/>
      <c r="J445" s="41"/>
      <c r="K445" s="41"/>
      <c r="L445" s="42"/>
      <c r="M445" s="43"/>
      <c r="N445" s="44"/>
      <c r="O445" s="45"/>
      <c r="P445" s="46" t="str">
        <f>IFERROR(__xludf.DUMMYFUNCTION("IF(OR(AND(C445&lt;&gt;"""", LEN(C445)&lt;3), LEN(C445)&gt;60, AND(D445&lt;&gt;"""", NOT(ISNUMBER(D445))), AND(ISNUMBER(D445), OR(D445&lt;0.01, D445&gt;999999999)), AND(COUNTA(D445:F445, H445:N445)&gt;0, C445=""""),                  
  AND(COUNTA(C445, H445:N445)&gt;0, D445=""""), LEN("&amp;"H445)&gt;50, AND(I445&lt;&gt;"""", NOT(ISNUMBER(I445))), AND(ISNUMBER(I445), OR(I445&lt;0, I445&gt;99998)), AND(L445&lt;&gt;"""", NOT(REGEXMATCH(L445&amp;"""", ""^\d{8,14}$"")))), ""Erro"", """")"),"")</f>
      </c>
    </row>
    <row r="446" ht="15.75" customHeight="true">
      <c r="A446" s="33"/>
      <c r="B446" s="34" t="str">
        <f t="shared" si="1"/>
      </c>
      <c r="C446" s="35"/>
      <c r="D446" s="36"/>
      <c r="E446" s="37"/>
      <c r="F446" s="38"/>
      <c r="G446" s="39" t="str">
        <f t="shared" si="2"/>
      </c>
      <c r="H446" s="40"/>
      <c r="I446" s="41"/>
      <c r="J446" s="41"/>
      <c r="K446" s="41"/>
      <c r="L446" s="42"/>
      <c r="M446" s="43"/>
      <c r="N446" s="44"/>
      <c r="O446" s="45"/>
      <c r="P446" s="46" t="str">
        <f>IFERROR(__xludf.DUMMYFUNCTION("IF(OR(AND(C446&lt;&gt;"""", LEN(C446)&lt;3), LEN(C446)&gt;60, AND(D446&lt;&gt;"""", NOT(ISNUMBER(D446))), AND(ISNUMBER(D446), OR(D446&lt;0.01, D446&gt;999999999)), AND(COUNTA(D446:F446, H446:N446)&gt;0, C446=""""),                  
  AND(COUNTA(C446, H446:N446)&gt;0, D446=""""), LEN("&amp;"H446)&gt;50, AND(I446&lt;&gt;"""", NOT(ISNUMBER(I446))), AND(ISNUMBER(I446), OR(I446&lt;0, I446&gt;99998)), AND(L446&lt;&gt;"""", NOT(REGEXMATCH(L446&amp;"""", ""^\d{8,14}$"")))), ""Erro"", """")"),"")</f>
      </c>
    </row>
    <row r="447" ht="15.75" customHeight="true">
      <c r="A447" s="33"/>
      <c r="B447" s="34" t="str">
        <f t="shared" si="1"/>
      </c>
      <c r="C447" s="35"/>
      <c r="D447" s="36"/>
      <c r="E447" s="37"/>
      <c r="F447" s="38"/>
      <c r="G447" s="39" t="str">
        <f t="shared" si="2"/>
      </c>
      <c r="H447" s="40"/>
      <c r="I447" s="41"/>
      <c r="J447" s="41"/>
      <c r="K447" s="41"/>
      <c r="L447" s="42"/>
      <c r="M447" s="43"/>
      <c r="N447" s="44"/>
      <c r="O447" s="45"/>
      <c r="P447" s="46" t="str">
        <f>IFERROR(__xludf.DUMMYFUNCTION("IF(OR(AND(C447&lt;&gt;"""", LEN(C447)&lt;3), LEN(C447)&gt;60, AND(D447&lt;&gt;"""", NOT(ISNUMBER(D447))), AND(ISNUMBER(D447), OR(D447&lt;0.01, D447&gt;999999999)), AND(COUNTA(D447:F447, H447:N447)&gt;0, C447=""""),                  
  AND(COUNTA(C447, H447:N447)&gt;0, D447=""""), LEN("&amp;"H447)&gt;50, AND(I447&lt;&gt;"""", NOT(ISNUMBER(I447))), AND(ISNUMBER(I447), OR(I447&lt;0, I447&gt;99998)), AND(L447&lt;&gt;"""", NOT(REGEXMATCH(L447&amp;"""", ""^\d{8,14}$"")))), ""Erro"", """")"),"")</f>
      </c>
    </row>
    <row r="448" ht="15.75" customHeight="true">
      <c r="A448" s="33"/>
      <c r="B448" s="34" t="str">
        <f t="shared" si="1"/>
      </c>
      <c r="C448" s="35"/>
      <c r="D448" s="36"/>
      <c r="E448" s="37"/>
      <c r="F448" s="38"/>
      <c r="G448" s="39" t="str">
        <f t="shared" si="2"/>
      </c>
      <c r="H448" s="40"/>
      <c r="I448" s="41"/>
      <c r="J448" s="41"/>
      <c r="K448" s="41"/>
      <c r="L448" s="42"/>
      <c r="M448" s="43"/>
      <c r="N448" s="44"/>
      <c r="O448" s="45"/>
      <c r="P448" s="46" t="str">
        <f>IFERROR(__xludf.DUMMYFUNCTION("IF(OR(AND(C448&lt;&gt;"""", LEN(C448)&lt;3), LEN(C448)&gt;60, AND(D448&lt;&gt;"""", NOT(ISNUMBER(D448))), AND(ISNUMBER(D448), OR(D448&lt;0.01, D448&gt;999999999)), AND(COUNTA(D448:F448, H448:N448)&gt;0, C448=""""),                  
  AND(COUNTA(C448, H448:N448)&gt;0, D448=""""), LEN("&amp;"H448)&gt;50, AND(I448&lt;&gt;"""", NOT(ISNUMBER(I448))), AND(ISNUMBER(I448), OR(I448&lt;0, I448&gt;99998)), AND(L448&lt;&gt;"""", NOT(REGEXMATCH(L448&amp;"""", ""^\d{8,14}$"")))), ""Erro"", """")"),"")</f>
      </c>
    </row>
    <row r="449" ht="15.75" customHeight="true">
      <c r="A449" s="33"/>
      <c r="B449" s="34" t="str">
        <f t="shared" si="1"/>
      </c>
      <c r="C449" s="35"/>
      <c r="D449" s="36"/>
      <c r="E449" s="37"/>
      <c r="F449" s="38"/>
      <c r="G449" s="39" t="str">
        <f t="shared" si="2"/>
      </c>
      <c r="H449" s="40"/>
      <c r="I449" s="41"/>
      <c r="J449" s="41"/>
      <c r="K449" s="41"/>
      <c r="L449" s="42"/>
      <c r="M449" s="43"/>
      <c r="N449" s="44"/>
      <c r="O449" s="45"/>
      <c r="P449" s="46" t="str">
        <f>IFERROR(__xludf.DUMMYFUNCTION("IF(OR(AND(C449&lt;&gt;"""", LEN(C449)&lt;3), LEN(C449)&gt;60, AND(D449&lt;&gt;"""", NOT(ISNUMBER(D449))), AND(ISNUMBER(D449), OR(D449&lt;0.01, D449&gt;999999999)), AND(COUNTA(D449:F449, H449:N449)&gt;0, C449=""""),                  
  AND(COUNTA(C449, H449:N449)&gt;0, D449=""""), LEN("&amp;"H449)&gt;50, AND(I449&lt;&gt;"""", NOT(ISNUMBER(I449))), AND(ISNUMBER(I449), OR(I449&lt;0, I449&gt;99998)), AND(L449&lt;&gt;"""", NOT(REGEXMATCH(L449&amp;"""", ""^\d{8,14}$"")))), ""Erro"", """")"),"")</f>
      </c>
    </row>
    <row r="450" ht="15.75" customHeight="true">
      <c r="A450" s="33"/>
      <c r="B450" s="34" t="str">
        <f t="shared" si="1"/>
      </c>
      <c r="C450" s="35"/>
      <c r="D450" s="36"/>
      <c r="E450" s="37"/>
      <c r="F450" s="38"/>
      <c r="G450" s="39" t="str">
        <f t="shared" si="2"/>
      </c>
      <c r="H450" s="40"/>
      <c r="I450" s="41"/>
      <c r="J450" s="41"/>
      <c r="K450" s="41"/>
      <c r="L450" s="42"/>
      <c r="M450" s="43"/>
      <c r="N450" s="44"/>
      <c r="O450" s="45"/>
      <c r="P450" s="46" t="str">
        <f>IFERROR(__xludf.DUMMYFUNCTION("IF(OR(AND(C450&lt;&gt;"""", LEN(C450)&lt;3), LEN(C450)&gt;60, AND(D450&lt;&gt;"""", NOT(ISNUMBER(D450))), AND(ISNUMBER(D450), OR(D450&lt;0.01, D450&gt;999999999)), AND(COUNTA(D450:F450, H450:N450)&gt;0, C450=""""),                  
  AND(COUNTA(C450, H450:N450)&gt;0, D450=""""), LEN("&amp;"H450)&gt;50, AND(I450&lt;&gt;"""", NOT(ISNUMBER(I450))), AND(ISNUMBER(I450), OR(I450&lt;0, I450&gt;99998)), AND(L450&lt;&gt;"""", NOT(REGEXMATCH(L450&amp;"""", ""^\d{8,14}$"")))), ""Erro"", """")"),"")</f>
      </c>
    </row>
    <row r="451" ht="15.75" customHeight="true">
      <c r="A451" s="33"/>
      <c r="B451" s="34" t="str">
        <f t="shared" si="1"/>
      </c>
      <c r="C451" s="35"/>
      <c r="D451" s="36"/>
      <c r="E451" s="37"/>
      <c r="F451" s="38"/>
      <c r="G451" s="39" t="str">
        <f t="shared" si="2"/>
      </c>
      <c r="H451" s="40"/>
      <c r="I451" s="41"/>
      <c r="J451" s="41"/>
      <c r="K451" s="41"/>
      <c r="L451" s="42"/>
      <c r="M451" s="43"/>
      <c r="N451" s="44"/>
      <c r="O451" s="45"/>
      <c r="P451" s="46" t="str">
        <f>IFERROR(__xludf.DUMMYFUNCTION("IF(OR(AND(C451&lt;&gt;"""", LEN(C451)&lt;3), LEN(C451)&gt;60, AND(D451&lt;&gt;"""", NOT(ISNUMBER(D451))), AND(ISNUMBER(D451), OR(D451&lt;0.01, D451&gt;999999999)), AND(COUNTA(D451:F451, H451:N451)&gt;0, C451=""""),                  
  AND(COUNTA(C451, H451:N451)&gt;0, D451=""""), LEN("&amp;"H451)&gt;50, AND(I451&lt;&gt;"""", NOT(ISNUMBER(I451))), AND(ISNUMBER(I451), OR(I451&lt;0, I451&gt;99998)), AND(L451&lt;&gt;"""", NOT(REGEXMATCH(L451&amp;"""", ""^\d{8,14}$"")))), ""Erro"", """")"),"")</f>
      </c>
    </row>
    <row r="452" ht="15.75" customHeight="true">
      <c r="A452" s="33"/>
      <c r="B452" s="34" t="str">
        <f t="shared" si="1"/>
      </c>
      <c r="C452" s="35"/>
      <c r="D452" s="36"/>
      <c r="E452" s="37"/>
      <c r="F452" s="38"/>
      <c r="G452" s="39" t="str">
        <f t="shared" si="2"/>
      </c>
      <c r="H452" s="40"/>
      <c r="I452" s="41"/>
      <c r="J452" s="41"/>
      <c r="K452" s="41"/>
      <c r="L452" s="42"/>
      <c r="M452" s="43"/>
      <c r="N452" s="44"/>
      <c r="O452" s="45"/>
      <c r="P452" s="46" t="str">
        <f>IFERROR(__xludf.DUMMYFUNCTION("IF(OR(AND(C452&lt;&gt;"""", LEN(C452)&lt;3), LEN(C452)&gt;60, AND(D452&lt;&gt;"""", NOT(ISNUMBER(D452))), AND(ISNUMBER(D452), OR(D452&lt;0.01, D452&gt;999999999)), AND(COUNTA(D452:F452, H452:N452)&gt;0, C452=""""),                  
  AND(COUNTA(C452, H452:N452)&gt;0, D452=""""), LEN("&amp;"H452)&gt;50, AND(I452&lt;&gt;"""", NOT(ISNUMBER(I452))), AND(ISNUMBER(I452), OR(I452&lt;0, I452&gt;99998)), AND(L452&lt;&gt;"""", NOT(REGEXMATCH(L452&amp;"""", ""^\d{8,14}$"")))), ""Erro"", """")"),"")</f>
      </c>
    </row>
    <row r="453" ht="15.75" customHeight="true">
      <c r="A453" s="33"/>
      <c r="B453" s="34" t="str">
        <f t="shared" si="1"/>
      </c>
      <c r="C453" s="35"/>
      <c r="D453" s="36"/>
      <c r="E453" s="37"/>
      <c r="F453" s="38"/>
      <c r="G453" s="39" t="str">
        <f t="shared" si="2"/>
      </c>
      <c r="H453" s="40"/>
      <c r="I453" s="41"/>
      <c r="J453" s="41"/>
      <c r="K453" s="41"/>
      <c r="L453" s="42"/>
      <c r="M453" s="43"/>
      <c r="N453" s="44"/>
      <c r="O453" s="45"/>
      <c r="P453" s="46" t="str">
        <f>IFERROR(__xludf.DUMMYFUNCTION("IF(OR(AND(C453&lt;&gt;"""", LEN(C453)&lt;3), LEN(C453)&gt;60, AND(D453&lt;&gt;"""", NOT(ISNUMBER(D453))), AND(ISNUMBER(D453), OR(D453&lt;0.01, D453&gt;999999999)), AND(COUNTA(D453:F453, H453:N453)&gt;0, C453=""""),                  
  AND(COUNTA(C453, H453:N453)&gt;0, D453=""""), LEN("&amp;"H453)&gt;50, AND(I453&lt;&gt;"""", NOT(ISNUMBER(I453))), AND(ISNUMBER(I453), OR(I453&lt;0, I453&gt;99998)), AND(L453&lt;&gt;"""", NOT(REGEXMATCH(L453&amp;"""", ""^\d{8,14}$"")))), ""Erro"", """")"),"")</f>
      </c>
    </row>
    <row r="454" ht="15.75" customHeight="true">
      <c r="A454" s="33"/>
      <c r="B454" s="34" t="str">
        <f t="shared" si="1"/>
      </c>
      <c r="C454" s="35"/>
      <c r="D454" s="36"/>
      <c r="E454" s="37"/>
      <c r="F454" s="38"/>
      <c r="G454" s="39" t="str">
        <f t="shared" si="2"/>
      </c>
      <c r="H454" s="40"/>
      <c r="I454" s="41"/>
      <c r="J454" s="41"/>
      <c r="K454" s="41"/>
      <c r="L454" s="42"/>
      <c r="M454" s="43"/>
      <c r="N454" s="44"/>
      <c r="O454" s="45"/>
      <c r="P454" s="46" t="str">
        <f>IFERROR(__xludf.DUMMYFUNCTION("IF(OR(AND(C454&lt;&gt;"""", LEN(C454)&lt;3), LEN(C454)&gt;60, AND(D454&lt;&gt;"""", NOT(ISNUMBER(D454))), AND(ISNUMBER(D454), OR(D454&lt;0.01, D454&gt;999999999)), AND(COUNTA(D454:F454, H454:N454)&gt;0, C454=""""),                  
  AND(COUNTA(C454, H454:N454)&gt;0, D454=""""), LEN("&amp;"H454)&gt;50, AND(I454&lt;&gt;"""", NOT(ISNUMBER(I454))), AND(ISNUMBER(I454), OR(I454&lt;0, I454&gt;99998)), AND(L454&lt;&gt;"""", NOT(REGEXMATCH(L454&amp;"""", ""^\d{8,14}$"")))), ""Erro"", """")"),"")</f>
      </c>
    </row>
    <row r="455" ht="15.75" customHeight="true">
      <c r="A455" s="33"/>
      <c r="B455" s="34" t="str">
        <f t="shared" si="1"/>
      </c>
      <c r="C455" s="35"/>
      <c r="D455" s="36"/>
      <c r="E455" s="37"/>
      <c r="F455" s="38"/>
      <c r="G455" s="39" t="str">
        <f t="shared" si="2"/>
      </c>
      <c r="H455" s="40"/>
      <c r="I455" s="41"/>
      <c r="J455" s="41"/>
      <c r="K455" s="41"/>
      <c r="L455" s="42"/>
      <c r="M455" s="43"/>
      <c r="N455" s="44"/>
      <c r="O455" s="45"/>
      <c r="P455" s="46" t="str">
        <f>IFERROR(__xludf.DUMMYFUNCTION("IF(OR(AND(C455&lt;&gt;"""", LEN(C455)&lt;3), LEN(C455)&gt;60, AND(D455&lt;&gt;"""", NOT(ISNUMBER(D455))), AND(ISNUMBER(D455), OR(D455&lt;0.01, D455&gt;999999999)), AND(COUNTA(D455:F455, H455:N455)&gt;0, C455=""""),                  
  AND(COUNTA(C455, H455:N455)&gt;0, D455=""""), LEN("&amp;"H455)&gt;50, AND(I455&lt;&gt;"""", NOT(ISNUMBER(I455))), AND(ISNUMBER(I455), OR(I455&lt;0, I455&gt;99998)), AND(L455&lt;&gt;"""", NOT(REGEXMATCH(L455&amp;"""", ""^\d{8,14}$"")))), ""Erro"", """")"),"")</f>
      </c>
    </row>
    <row r="456" ht="15.75" customHeight="true">
      <c r="A456" s="33"/>
      <c r="B456" s="34" t="str">
        <f t="shared" si="1"/>
      </c>
      <c r="C456" s="35"/>
      <c r="D456" s="36"/>
      <c r="E456" s="37"/>
      <c r="F456" s="38"/>
      <c r="G456" s="39" t="str">
        <f t="shared" si="2"/>
      </c>
      <c r="H456" s="40"/>
      <c r="I456" s="41"/>
      <c r="J456" s="41"/>
      <c r="K456" s="41"/>
      <c r="L456" s="42"/>
      <c r="M456" s="43"/>
      <c r="N456" s="44"/>
      <c r="O456" s="45"/>
      <c r="P456" s="46" t="str">
        <f>IFERROR(__xludf.DUMMYFUNCTION("IF(OR(AND(C456&lt;&gt;"""", LEN(C456)&lt;3), LEN(C456)&gt;60, AND(D456&lt;&gt;"""", NOT(ISNUMBER(D456))), AND(ISNUMBER(D456), OR(D456&lt;0.01, D456&gt;999999999)), AND(COUNTA(D456:F456, H456:N456)&gt;0, C456=""""),                  
  AND(COUNTA(C456, H456:N456)&gt;0, D456=""""), LEN("&amp;"H456)&gt;50, AND(I456&lt;&gt;"""", NOT(ISNUMBER(I456))), AND(ISNUMBER(I456), OR(I456&lt;0, I456&gt;99998)), AND(L456&lt;&gt;"""", NOT(REGEXMATCH(L456&amp;"""", ""^\d{8,14}$"")))), ""Erro"", """")"),"")</f>
      </c>
    </row>
    <row r="457" ht="15.75" customHeight="true">
      <c r="A457" s="33"/>
      <c r="B457" s="34" t="str">
        <f t="shared" si="1"/>
      </c>
      <c r="C457" s="35"/>
      <c r="D457" s="36"/>
      <c r="E457" s="37"/>
      <c r="F457" s="38"/>
      <c r="G457" s="39" t="str">
        <f t="shared" si="2"/>
      </c>
      <c r="H457" s="40"/>
      <c r="I457" s="41"/>
      <c r="J457" s="41"/>
      <c r="K457" s="41"/>
      <c r="L457" s="42"/>
      <c r="M457" s="43"/>
      <c r="N457" s="44"/>
      <c r="O457" s="45"/>
      <c r="P457" s="46" t="str">
        <f>IFERROR(__xludf.DUMMYFUNCTION("IF(OR(AND(C457&lt;&gt;"""", LEN(C457)&lt;3), LEN(C457)&gt;60, AND(D457&lt;&gt;"""", NOT(ISNUMBER(D457))), AND(ISNUMBER(D457), OR(D457&lt;0.01, D457&gt;999999999)), AND(COUNTA(D457:F457, H457:N457)&gt;0, C457=""""),                  
  AND(COUNTA(C457, H457:N457)&gt;0, D457=""""), LEN("&amp;"H457)&gt;50, AND(I457&lt;&gt;"""", NOT(ISNUMBER(I457))), AND(ISNUMBER(I457), OR(I457&lt;0, I457&gt;99998)), AND(L457&lt;&gt;"""", NOT(REGEXMATCH(L457&amp;"""", ""^\d{8,14}$"")))), ""Erro"", """")"),"")</f>
      </c>
    </row>
    <row r="458" ht="15.75" customHeight="true">
      <c r="A458" s="33"/>
      <c r="B458" s="34" t="str">
        <f t="shared" si="1"/>
      </c>
      <c r="C458" s="35"/>
      <c r="D458" s="36"/>
      <c r="E458" s="37"/>
      <c r="F458" s="38"/>
      <c r="G458" s="39" t="str">
        <f t="shared" si="2"/>
      </c>
      <c r="H458" s="40"/>
      <c r="I458" s="41"/>
      <c r="J458" s="41"/>
      <c r="K458" s="41"/>
      <c r="L458" s="42"/>
      <c r="M458" s="43"/>
      <c r="N458" s="44"/>
      <c r="O458" s="45"/>
      <c r="P458" s="46" t="str">
        <f>IFERROR(__xludf.DUMMYFUNCTION("IF(OR(AND(C458&lt;&gt;"""", LEN(C458)&lt;3), LEN(C458)&gt;60, AND(D458&lt;&gt;"""", NOT(ISNUMBER(D458))), AND(ISNUMBER(D458), OR(D458&lt;0.01, D458&gt;999999999)), AND(COUNTA(D458:F458, H458:N458)&gt;0, C458=""""),                  
  AND(COUNTA(C458, H458:N458)&gt;0, D458=""""), LEN("&amp;"H458)&gt;50, AND(I458&lt;&gt;"""", NOT(ISNUMBER(I458))), AND(ISNUMBER(I458), OR(I458&lt;0, I458&gt;99998)), AND(L458&lt;&gt;"""", NOT(REGEXMATCH(L458&amp;"""", ""^\d{8,14}$"")))), ""Erro"", """")"),"")</f>
      </c>
    </row>
    <row r="459" ht="15.75" customHeight="true">
      <c r="A459" s="33"/>
      <c r="B459" s="34" t="str">
        <f t="shared" si="1"/>
      </c>
      <c r="C459" s="35"/>
      <c r="D459" s="36"/>
      <c r="E459" s="37"/>
      <c r="F459" s="38"/>
      <c r="G459" s="39" t="str">
        <f t="shared" si="2"/>
      </c>
      <c r="H459" s="40"/>
      <c r="I459" s="41"/>
      <c r="J459" s="41"/>
      <c r="K459" s="41"/>
      <c r="L459" s="42"/>
      <c r="M459" s="43"/>
      <c r="N459" s="44"/>
      <c r="O459" s="45"/>
      <c r="P459" s="46" t="str">
        <f>IFERROR(__xludf.DUMMYFUNCTION("IF(OR(AND(C459&lt;&gt;"""", LEN(C459)&lt;3), LEN(C459)&gt;60, AND(D459&lt;&gt;"""", NOT(ISNUMBER(D459))), AND(ISNUMBER(D459), OR(D459&lt;0.01, D459&gt;999999999)), AND(COUNTA(D459:F459, H459:N459)&gt;0, C459=""""),                  
  AND(COUNTA(C459, H459:N459)&gt;0, D459=""""), LEN("&amp;"H459)&gt;50, AND(I459&lt;&gt;"""", NOT(ISNUMBER(I459))), AND(ISNUMBER(I459), OR(I459&lt;0, I459&gt;99998)), AND(L459&lt;&gt;"""", NOT(REGEXMATCH(L459&amp;"""", ""^\d{8,14}$"")))), ""Erro"", """")"),"")</f>
      </c>
    </row>
    <row r="460" ht="15.75" customHeight="true">
      <c r="A460" s="33"/>
      <c r="B460" s="34" t="str">
        <f t="shared" si="1"/>
      </c>
      <c r="C460" s="35"/>
      <c r="D460" s="36"/>
      <c r="E460" s="37"/>
      <c r="F460" s="38"/>
      <c r="G460" s="39" t="str">
        <f t="shared" si="2"/>
      </c>
      <c r="H460" s="40"/>
      <c r="I460" s="41"/>
      <c r="J460" s="41"/>
      <c r="K460" s="41"/>
      <c r="L460" s="42"/>
      <c r="M460" s="43"/>
      <c r="N460" s="44"/>
      <c r="O460" s="45"/>
      <c r="P460" s="46" t="str">
        <f>IFERROR(__xludf.DUMMYFUNCTION("IF(OR(AND(C460&lt;&gt;"""", LEN(C460)&lt;3), LEN(C460)&gt;60, AND(D460&lt;&gt;"""", NOT(ISNUMBER(D460))), AND(ISNUMBER(D460), OR(D460&lt;0.01, D460&gt;999999999)), AND(COUNTA(D460:F460, H460:N460)&gt;0, C460=""""),                  
  AND(COUNTA(C460, H460:N460)&gt;0, D460=""""), LEN("&amp;"H460)&gt;50, AND(I460&lt;&gt;"""", NOT(ISNUMBER(I460))), AND(ISNUMBER(I460), OR(I460&lt;0, I460&gt;99998)), AND(L460&lt;&gt;"""", NOT(REGEXMATCH(L460&amp;"""", ""^\d{8,14}$"")))), ""Erro"", """")"),"")</f>
      </c>
    </row>
    <row r="461" ht="15.75" customHeight="true">
      <c r="A461" s="33"/>
      <c r="B461" s="34" t="str">
        <f t="shared" si="1"/>
      </c>
      <c r="C461" s="35"/>
      <c r="D461" s="36"/>
      <c r="E461" s="37"/>
      <c r="F461" s="38"/>
      <c r="G461" s="39" t="str">
        <f t="shared" si="2"/>
      </c>
      <c r="H461" s="40"/>
      <c r="I461" s="41"/>
      <c r="J461" s="41"/>
      <c r="K461" s="41"/>
      <c r="L461" s="42"/>
      <c r="M461" s="43"/>
      <c r="N461" s="44"/>
      <c r="O461" s="45"/>
      <c r="P461" s="46" t="str">
        <f>IFERROR(__xludf.DUMMYFUNCTION("IF(OR(AND(C461&lt;&gt;"""", LEN(C461)&lt;3), LEN(C461)&gt;60, AND(D461&lt;&gt;"""", NOT(ISNUMBER(D461))), AND(ISNUMBER(D461), OR(D461&lt;0.01, D461&gt;999999999)), AND(COUNTA(D461:F461, H461:N461)&gt;0, C461=""""),                  
  AND(COUNTA(C461, H461:N461)&gt;0, D461=""""), LEN("&amp;"H461)&gt;50, AND(I461&lt;&gt;"""", NOT(ISNUMBER(I461))), AND(ISNUMBER(I461), OR(I461&lt;0, I461&gt;99998)), AND(L461&lt;&gt;"""", NOT(REGEXMATCH(L461&amp;"""", ""^\d{8,14}$"")))), ""Erro"", """")"),"")</f>
      </c>
    </row>
    <row r="462" ht="15.75" customHeight="true">
      <c r="A462" s="33"/>
      <c r="B462" s="34" t="str">
        <f t="shared" si="1"/>
      </c>
      <c r="C462" s="35"/>
      <c r="D462" s="36"/>
      <c r="E462" s="37"/>
      <c r="F462" s="38"/>
      <c r="G462" s="39" t="str">
        <f t="shared" si="2"/>
      </c>
      <c r="H462" s="40"/>
      <c r="I462" s="41"/>
      <c r="J462" s="41"/>
      <c r="K462" s="41"/>
      <c r="L462" s="42"/>
      <c r="M462" s="43"/>
      <c r="N462" s="44"/>
      <c r="O462" s="45"/>
      <c r="P462" s="46" t="str">
        <f>IFERROR(__xludf.DUMMYFUNCTION("IF(OR(AND(C462&lt;&gt;"""", LEN(C462)&lt;3), LEN(C462)&gt;60, AND(D462&lt;&gt;"""", NOT(ISNUMBER(D462))), AND(ISNUMBER(D462), OR(D462&lt;0.01, D462&gt;999999999)), AND(COUNTA(D462:F462, H462:N462)&gt;0, C462=""""),                  
  AND(COUNTA(C462, H462:N462)&gt;0, D462=""""), LEN("&amp;"H462)&gt;50, AND(I462&lt;&gt;"""", NOT(ISNUMBER(I462))), AND(ISNUMBER(I462), OR(I462&lt;0, I462&gt;99998)), AND(L462&lt;&gt;"""", NOT(REGEXMATCH(L462&amp;"""", ""^\d{8,14}$"")))), ""Erro"", """")"),"")</f>
      </c>
    </row>
    <row r="463" ht="15.75" customHeight="true">
      <c r="A463" s="33"/>
      <c r="B463" s="34" t="str">
        <f t="shared" si="1"/>
      </c>
      <c r="C463" s="35"/>
      <c r="D463" s="36"/>
      <c r="E463" s="37"/>
      <c r="F463" s="38"/>
      <c r="G463" s="39" t="str">
        <f t="shared" si="2"/>
      </c>
      <c r="H463" s="40"/>
      <c r="I463" s="41"/>
      <c r="J463" s="41"/>
      <c r="K463" s="41"/>
      <c r="L463" s="42"/>
      <c r="M463" s="43"/>
      <c r="N463" s="44"/>
      <c r="O463" s="45"/>
      <c r="P463" s="46" t="str">
        <f>IFERROR(__xludf.DUMMYFUNCTION("IF(OR(AND(C463&lt;&gt;"""", LEN(C463)&lt;3), LEN(C463)&gt;60, AND(D463&lt;&gt;"""", NOT(ISNUMBER(D463))), AND(ISNUMBER(D463), OR(D463&lt;0.01, D463&gt;999999999)), AND(COUNTA(D463:F463, H463:N463)&gt;0, C463=""""),                  
  AND(COUNTA(C463, H463:N463)&gt;0, D463=""""), LEN("&amp;"H463)&gt;50, AND(I463&lt;&gt;"""", NOT(ISNUMBER(I463))), AND(ISNUMBER(I463), OR(I463&lt;0, I463&gt;99998)), AND(L463&lt;&gt;"""", NOT(REGEXMATCH(L463&amp;"""", ""^\d{8,14}$"")))), ""Erro"", """")"),"")</f>
      </c>
    </row>
    <row r="464" ht="15.75" customHeight="true">
      <c r="A464" s="33"/>
      <c r="B464" s="34" t="str">
        <f t="shared" si="1"/>
      </c>
      <c r="C464" s="35"/>
      <c r="D464" s="36"/>
      <c r="E464" s="37"/>
      <c r="F464" s="38"/>
      <c r="G464" s="39" t="str">
        <f t="shared" si="2"/>
      </c>
      <c r="H464" s="40"/>
      <c r="I464" s="41"/>
      <c r="J464" s="41"/>
      <c r="K464" s="41"/>
      <c r="L464" s="42"/>
      <c r="M464" s="43"/>
      <c r="N464" s="44"/>
      <c r="O464" s="45"/>
      <c r="P464" s="46" t="str">
        <f>IFERROR(__xludf.DUMMYFUNCTION("IF(OR(AND(C464&lt;&gt;"""", LEN(C464)&lt;3), LEN(C464)&gt;60, AND(D464&lt;&gt;"""", NOT(ISNUMBER(D464))), AND(ISNUMBER(D464), OR(D464&lt;0.01, D464&gt;999999999)), AND(COUNTA(D464:F464, H464:N464)&gt;0, C464=""""),                  
  AND(COUNTA(C464, H464:N464)&gt;0, D464=""""), LEN("&amp;"H464)&gt;50, AND(I464&lt;&gt;"""", NOT(ISNUMBER(I464))), AND(ISNUMBER(I464), OR(I464&lt;0, I464&gt;99998)), AND(L464&lt;&gt;"""", NOT(REGEXMATCH(L464&amp;"""", ""^\d{8,14}$"")))), ""Erro"", """")"),"")</f>
      </c>
    </row>
    <row r="465" ht="15.75" customHeight="true">
      <c r="A465" s="33"/>
      <c r="B465" s="34" t="str">
        <f t="shared" si="1"/>
      </c>
      <c r="C465" s="35"/>
      <c r="D465" s="36"/>
      <c r="E465" s="37"/>
      <c r="F465" s="38"/>
      <c r="G465" s="39" t="str">
        <f t="shared" si="2"/>
      </c>
      <c r="H465" s="40"/>
      <c r="I465" s="41"/>
      <c r="J465" s="41"/>
      <c r="K465" s="41"/>
      <c r="L465" s="42"/>
      <c r="M465" s="43"/>
      <c r="N465" s="44"/>
      <c r="O465" s="45"/>
      <c r="P465" s="46" t="str">
        <f>IFERROR(__xludf.DUMMYFUNCTION("IF(OR(AND(C465&lt;&gt;"""", LEN(C465)&lt;3), LEN(C465)&gt;60, AND(D465&lt;&gt;"""", NOT(ISNUMBER(D465))), AND(ISNUMBER(D465), OR(D465&lt;0.01, D465&gt;999999999)), AND(COUNTA(D465:F465, H465:N465)&gt;0, C465=""""),                  
  AND(COUNTA(C465, H465:N465)&gt;0, D465=""""), LEN("&amp;"H465)&gt;50, AND(I465&lt;&gt;"""", NOT(ISNUMBER(I465))), AND(ISNUMBER(I465), OR(I465&lt;0, I465&gt;99998)), AND(L465&lt;&gt;"""", NOT(REGEXMATCH(L465&amp;"""", ""^\d{8,14}$"")))), ""Erro"", """")"),"")</f>
      </c>
    </row>
    <row r="466" ht="15.75" customHeight="true">
      <c r="A466" s="33"/>
      <c r="B466" s="34" t="str">
        <f t="shared" si="1"/>
      </c>
      <c r="C466" s="35"/>
      <c r="D466" s="36"/>
      <c r="E466" s="37"/>
      <c r="F466" s="38"/>
      <c r="G466" s="39" t="str">
        <f t="shared" si="2"/>
      </c>
      <c r="H466" s="40"/>
      <c r="I466" s="41"/>
      <c r="J466" s="41"/>
      <c r="K466" s="41"/>
      <c r="L466" s="42"/>
      <c r="M466" s="43"/>
      <c r="N466" s="44"/>
      <c r="O466" s="45"/>
      <c r="P466" s="46" t="str">
        <f>IFERROR(__xludf.DUMMYFUNCTION("IF(OR(AND(C466&lt;&gt;"""", LEN(C466)&lt;3), LEN(C466)&gt;60, AND(D466&lt;&gt;"""", NOT(ISNUMBER(D466))), AND(ISNUMBER(D466), OR(D466&lt;0.01, D466&gt;999999999)), AND(COUNTA(D466:F466, H466:N466)&gt;0, C466=""""),                  
  AND(COUNTA(C466, H466:N466)&gt;0, D466=""""), LEN("&amp;"H466)&gt;50, AND(I466&lt;&gt;"""", NOT(ISNUMBER(I466))), AND(ISNUMBER(I466), OR(I466&lt;0, I466&gt;99998)), AND(L466&lt;&gt;"""", NOT(REGEXMATCH(L466&amp;"""", ""^\d{8,14}$"")))), ""Erro"", """")"),"")</f>
      </c>
    </row>
    <row r="467" ht="15.75" customHeight="true">
      <c r="A467" s="33"/>
      <c r="B467" s="34" t="str">
        <f t="shared" si="1"/>
      </c>
      <c r="C467" s="35"/>
      <c r="D467" s="36"/>
      <c r="E467" s="37"/>
      <c r="F467" s="38"/>
      <c r="G467" s="39" t="str">
        <f t="shared" si="2"/>
      </c>
      <c r="H467" s="40"/>
      <c r="I467" s="41"/>
      <c r="J467" s="41"/>
      <c r="K467" s="41"/>
      <c r="L467" s="42"/>
      <c r="M467" s="43"/>
      <c r="N467" s="44"/>
      <c r="O467" s="45"/>
      <c r="P467" s="46" t="str">
        <f>IFERROR(__xludf.DUMMYFUNCTION("IF(OR(AND(C467&lt;&gt;"""", LEN(C467)&lt;3), LEN(C467)&gt;60, AND(D467&lt;&gt;"""", NOT(ISNUMBER(D467))), AND(ISNUMBER(D467), OR(D467&lt;0.01, D467&gt;999999999)), AND(COUNTA(D467:F467, H467:N467)&gt;0, C467=""""),                  
  AND(COUNTA(C467, H467:N467)&gt;0, D467=""""), LEN("&amp;"H467)&gt;50, AND(I467&lt;&gt;"""", NOT(ISNUMBER(I467))), AND(ISNUMBER(I467), OR(I467&lt;0, I467&gt;99998)), AND(L467&lt;&gt;"""", NOT(REGEXMATCH(L467&amp;"""", ""^\d{8,14}$"")))), ""Erro"", """")"),"")</f>
      </c>
    </row>
    <row r="468" ht="15.75" customHeight="true">
      <c r="A468" s="33"/>
      <c r="B468" s="34" t="str">
        <f t="shared" si="1"/>
      </c>
      <c r="C468" s="35"/>
      <c r="D468" s="36"/>
      <c r="E468" s="37"/>
      <c r="F468" s="38"/>
      <c r="G468" s="39" t="str">
        <f t="shared" si="2"/>
      </c>
      <c r="H468" s="40"/>
      <c r="I468" s="41"/>
      <c r="J468" s="41"/>
      <c r="K468" s="41"/>
      <c r="L468" s="42"/>
      <c r="M468" s="43"/>
      <c r="N468" s="44"/>
      <c r="O468" s="45"/>
      <c r="P468" s="46" t="str">
        <f>IFERROR(__xludf.DUMMYFUNCTION("IF(OR(AND(C468&lt;&gt;"""", LEN(C468)&lt;3), LEN(C468)&gt;60, AND(D468&lt;&gt;"""", NOT(ISNUMBER(D468))), AND(ISNUMBER(D468), OR(D468&lt;0.01, D468&gt;999999999)), AND(COUNTA(D468:F468, H468:N468)&gt;0, C468=""""),                  
  AND(COUNTA(C468, H468:N468)&gt;0, D468=""""), LEN("&amp;"H468)&gt;50, AND(I468&lt;&gt;"""", NOT(ISNUMBER(I468))), AND(ISNUMBER(I468), OR(I468&lt;0, I468&gt;99998)), AND(L468&lt;&gt;"""", NOT(REGEXMATCH(L468&amp;"""", ""^\d{8,14}$"")))), ""Erro"", """")"),"")</f>
      </c>
    </row>
    <row r="469" ht="15.75" customHeight="true">
      <c r="A469" s="33"/>
      <c r="B469" s="34" t="str">
        <f t="shared" si="1"/>
      </c>
      <c r="C469" s="35"/>
      <c r="D469" s="36"/>
      <c r="E469" s="37"/>
      <c r="F469" s="38"/>
      <c r="G469" s="39" t="str">
        <f t="shared" si="2"/>
      </c>
      <c r="H469" s="40"/>
      <c r="I469" s="41"/>
      <c r="J469" s="41"/>
      <c r="K469" s="41"/>
      <c r="L469" s="42"/>
      <c r="M469" s="43"/>
      <c r="N469" s="44"/>
      <c r="O469" s="45"/>
      <c r="P469" s="46" t="str">
        <f>IFERROR(__xludf.DUMMYFUNCTION("IF(OR(AND(C469&lt;&gt;"""", LEN(C469)&lt;3), LEN(C469)&gt;60, AND(D469&lt;&gt;"""", NOT(ISNUMBER(D469))), AND(ISNUMBER(D469), OR(D469&lt;0.01, D469&gt;999999999)), AND(COUNTA(D469:F469, H469:N469)&gt;0, C469=""""),                  
  AND(COUNTA(C469, H469:N469)&gt;0, D469=""""), LEN("&amp;"H469)&gt;50, AND(I469&lt;&gt;"""", NOT(ISNUMBER(I469))), AND(ISNUMBER(I469), OR(I469&lt;0, I469&gt;99998)), AND(L469&lt;&gt;"""", NOT(REGEXMATCH(L469&amp;"""", ""^\d{8,14}$"")))), ""Erro"", """")"),"")</f>
      </c>
    </row>
    <row r="470" ht="15.75" customHeight="true">
      <c r="A470" s="33"/>
      <c r="B470" s="34" t="str">
        <f t="shared" si="1"/>
      </c>
      <c r="C470" s="35"/>
      <c r="D470" s="36"/>
      <c r="E470" s="37"/>
      <c r="F470" s="38"/>
      <c r="G470" s="39" t="str">
        <f t="shared" si="2"/>
      </c>
      <c r="H470" s="40"/>
      <c r="I470" s="41"/>
      <c r="J470" s="41"/>
      <c r="K470" s="41"/>
      <c r="L470" s="42"/>
      <c r="M470" s="43"/>
      <c r="N470" s="44"/>
      <c r="O470" s="45"/>
      <c r="P470" s="46" t="str">
        <f>IFERROR(__xludf.DUMMYFUNCTION("IF(OR(AND(C470&lt;&gt;"""", LEN(C470)&lt;3), LEN(C470)&gt;60, AND(D470&lt;&gt;"""", NOT(ISNUMBER(D470))), AND(ISNUMBER(D470), OR(D470&lt;0.01, D470&gt;999999999)), AND(COUNTA(D470:F470, H470:N470)&gt;0, C470=""""),                  
  AND(COUNTA(C470, H470:N470)&gt;0, D470=""""), LEN("&amp;"H470)&gt;50, AND(I470&lt;&gt;"""", NOT(ISNUMBER(I470))), AND(ISNUMBER(I470), OR(I470&lt;0, I470&gt;99998)), AND(L470&lt;&gt;"""", NOT(REGEXMATCH(L470&amp;"""", ""^\d{8,14}$"")))), ""Erro"", """")"),"")</f>
      </c>
    </row>
    <row r="471" ht="15.75" customHeight="true">
      <c r="A471" s="33"/>
      <c r="B471" s="34" t="str">
        <f t="shared" si="1"/>
      </c>
      <c r="C471" s="35"/>
      <c r="D471" s="36"/>
      <c r="E471" s="37"/>
      <c r="F471" s="38"/>
      <c r="G471" s="39" t="str">
        <f t="shared" si="2"/>
      </c>
      <c r="H471" s="40"/>
      <c r="I471" s="41"/>
      <c r="J471" s="41"/>
      <c r="K471" s="41"/>
      <c r="L471" s="42"/>
      <c r="M471" s="43"/>
      <c r="N471" s="44"/>
      <c r="O471" s="45"/>
      <c r="P471" s="46" t="str">
        <f>IFERROR(__xludf.DUMMYFUNCTION("IF(OR(AND(C471&lt;&gt;"""", LEN(C471)&lt;3), LEN(C471)&gt;60, AND(D471&lt;&gt;"""", NOT(ISNUMBER(D471))), AND(ISNUMBER(D471), OR(D471&lt;0.01, D471&gt;999999999)), AND(COUNTA(D471:F471, H471:N471)&gt;0, C471=""""),                  
  AND(COUNTA(C471, H471:N471)&gt;0, D471=""""), LEN("&amp;"H471)&gt;50, AND(I471&lt;&gt;"""", NOT(ISNUMBER(I471))), AND(ISNUMBER(I471), OR(I471&lt;0, I471&gt;99998)), AND(L471&lt;&gt;"""", NOT(REGEXMATCH(L471&amp;"""", ""^\d{8,14}$"")))), ""Erro"", """")"),"")</f>
      </c>
    </row>
    <row r="472" ht="15.75" customHeight="true">
      <c r="A472" s="33"/>
      <c r="B472" s="34" t="str">
        <f t="shared" si="1"/>
      </c>
      <c r="C472" s="35"/>
      <c r="D472" s="36"/>
      <c r="E472" s="37"/>
      <c r="F472" s="38"/>
      <c r="G472" s="39" t="str">
        <f t="shared" si="2"/>
      </c>
      <c r="H472" s="40"/>
      <c r="I472" s="41"/>
      <c r="J472" s="41"/>
      <c r="K472" s="41"/>
      <c r="L472" s="42"/>
      <c r="M472" s="43"/>
      <c r="N472" s="44"/>
      <c r="O472" s="45"/>
      <c r="P472" s="46" t="str">
        <f>IFERROR(__xludf.DUMMYFUNCTION("IF(OR(AND(C472&lt;&gt;"""", LEN(C472)&lt;3), LEN(C472)&gt;60, AND(D472&lt;&gt;"""", NOT(ISNUMBER(D472))), AND(ISNUMBER(D472), OR(D472&lt;0.01, D472&gt;999999999)), AND(COUNTA(D472:F472, H472:N472)&gt;0, C472=""""),                  
  AND(COUNTA(C472, H472:N472)&gt;0, D472=""""), LEN("&amp;"H472)&gt;50, AND(I472&lt;&gt;"""", NOT(ISNUMBER(I472))), AND(ISNUMBER(I472), OR(I472&lt;0, I472&gt;99998)), AND(L472&lt;&gt;"""", NOT(REGEXMATCH(L472&amp;"""", ""^\d{8,14}$"")))), ""Erro"", """")"),"")</f>
      </c>
    </row>
    <row r="473" ht="15.75" customHeight="true">
      <c r="A473" s="33"/>
      <c r="B473" s="34" t="str">
        <f t="shared" si="1"/>
      </c>
      <c r="C473" s="35"/>
      <c r="D473" s="36"/>
      <c r="E473" s="37"/>
      <c r="F473" s="38"/>
      <c r="G473" s="39" t="str">
        <f t="shared" si="2"/>
      </c>
      <c r="H473" s="40"/>
      <c r="I473" s="41"/>
      <c r="J473" s="41"/>
      <c r="K473" s="41"/>
      <c r="L473" s="42"/>
      <c r="M473" s="43"/>
      <c r="N473" s="44"/>
      <c r="O473" s="45"/>
      <c r="P473" s="46" t="str">
        <f>IFERROR(__xludf.DUMMYFUNCTION("IF(OR(AND(C473&lt;&gt;"""", LEN(C473)&lt;3), LEN(C473)&gt;60, AND(D473&lt;&gt;"""", NOT(ISNUMBER(D473))), AND(ISNUMBER(D473), OR(D473&lt;0.01, D473&gt;999999999)), AND(COUNTA(D473:F473, H473:N473)&gt;0, C473=""""),                  
  AND(COUNTA(C473, H473:N473)&gt;0, D473=""""), LEN("&amp;"H473)&gt;50, AND(I473&lt;&gt;"""", NOT(ISNUMBER(I473))), AND(ISNUMBER(I473), OR(I473&lt;0, I473&gt;99998)), AND(L473&lt;&gt;"""", NOT(REGEXMATCH(L473&amp;"""", ""^\d{8,14}$"")))), ""Erro"", """")"),"")</f>
      </c>
    </row>
    <row r="474" ht="15.75" customHeight="true">
      <c r="A474" s="33"/>
      <c r="B474" s="34" t="str">
        <f t="shared" si="1"/>
      </c>
      <c r="C474" s="35"/>
      <c r="D474" s="36"/>
      <c r="E474" s="37"/>
      <c r="F474" s="38"/>
      <c r="G474" s="39" t="str">
        <f t="shared" si="2"/>
      </c>
      <c r="H474" s="40"/>
      <c r="I474" s="41"/>
      <c r="J474" s="41"/>
      <c r="K474" s="41"/>
      <c r="L474" s="42"/>
      <c r="M474" s="43"/>
      <c r="N474" s="44"/>
      <c r="O474" s="45"/>
      <c r="P474" s="46" t="str">
        <f>IFERROR(__xludf.DUMMYFUNCTION("IF(OR(AND(C474&lt;&gt;"""", LEN(C474)&lt;3), LEN(C474)&gt;60, AND(D474&lt;&gt;"""", NOT(ISNUMBER(D474))), AND(ISNUMBER(D474), OR(D474&lt;0.01, D474&gt;999999999)), AND(COUNTA(D474:F474, H474:N474)&gt;0, C474=""""),                  
  AND(COUNTA(C474, H474:N474)&gt;0, D474=""""), LEN("&amp;"H474)&gt;50, AND(I474&lt;&gt;"""", NOT(ISNUMBER(I474))), AND(ISNUMBER(I474), OR(I474&lt;0, I474&gt;99998)), AND(L474&lt;&gt;"""", NOT(REGEXMATCH(L474&amp;"""", ""^\d{8,14}$"")))), ""Erro"", """")"),"")</f>
      </c>
    </row>
    <row r="475" ht="15.75" customHeight="true">
      <c r="A475" s="33"/>
      <c r="B475" s="34" t="str">
        <f t="shared" si="1"/>
      </c>
      <c r="C475" s="35"/>
      <c r="D475" s="36"/>
      <c r="E475" s="37"/>
      <c r="F475" s="38"/>
      <c r="G475" s="39" t="str">
        <f t="shared" si="2"/>
      </c>
      <c r="H475" s="40"/>
      <c r="I475" s="41"/>
      <c r="J475" s="41"/>
      <c r="K475" s="41"/>
      <c r="L475" s="42"/>
      <c r="M475" s="43"/>
      <c r="N475" s="44"/>
      <c r="O475" s="45"/>
      <c r="P475" s="46" t="str">
        <f>IFERROR(__xludf.DUMMYFUNCTION("IF(OR(AND(C475&lt;&gt;"""", LEN(C475)&lt;3), LEN(C475)&gt;60, AND(D475&lt;&gt;"""", NOT(ISNUMBER(D475))), AND(ISNUMBER(D475), OR(D475&lt;0.01, D475&gt;999999999)), AND(COUNTA(D475:F475, H475:N475)&gt;0, C475=""""),                  
  AND(COUNTA(C475, H475:N475)&gt;0, D475=""""), LEN("&amp;"H475)&gt;50, AND(I475&lt;&gt;"""", NOT(ISNUMBER(I475))), AND(ISNUMBER(I475), OR(I475&lt;0, I475&gt;99998)), AND(L475&lt;&gt;"""", NOT(REGEXMATCH(L475&amp;"""", ""^\d{8,14}$"")))), ""Erro"", """")"),"")</f>
      </c>
    </row>
    <row r="476" ht="15.75" customHeight="true">
      <c r="A476" s="33"/>
      <c r="B476" s="34" t="str">
        <f t="shared" si="1"/>
      </c>
      <c r="C476" s="35"/>
      <c r="D476" s="36"/>
      <c r="E476" s="37"/>
      <c r="F476" s="38"/>
      <c r="G476" s="39" t="str">
        <f t="shared" si="2"/>
      </c>
      <c r="H476" s="40"/>
      <c r="I476" s="41"/>
      <c r="J476" s="41"/>
      <c r="K476" s="41"/>
      <c r="L476" s="42"/>
      <c r="M476" s="43"/>
      <c r="N476" s="44"/>
      <c r="O476" s="45"/>
      <c r="P476" s="46" t="str">
        <f>IFERROR(__xludf.DUMMYFUNCTION("IF(OR(AND(C476&lt;&gt;"""", LEN(C476)&lt;3), LEN(C476)&gt;60, AND(D476&lt;&gt;"""", NOT(ISNUMBER(D476))), AND(ISNUMBER(D476), OR(D476&lt;0.01, D476&gt;999999999)), AND(COUNTA(D476:F476, H476:N476)&gt;0, C476=""""),                  
  AND(COUNTA(C476, H476:N476)&gt;0, D476=""""), LEN("&amp;"H476)&gt;50, AND(I476&lt;&gt;"""", NOT(ISNUMBER(I476))), AND(ISNUMBER(I476), OR(I476&lt;0, I476&gt;99998)), AND(L476&lt;&gt;"""", NOT(REGEXMATCH(L476&amp;"""", ""^\d{8,14}$"")))), ""Erro"", """")"),"")</f>
      </c>
    </row>
    <row r="477" ht="15.75" customHeight="true">
      <c r="A477" s="33"/>
      <c r="B477" s="34" t="str">
        <f t="shared" si="1"/>
      </c>
      <c r="C477" s="35"/>
      <c r="D477" s="36"/>
      <c r="E477" s="37"/>
      <c r="F477" s="38"/>
      <c r="G477" s="39" t="str">
        <f t="shared" si="2"/>
      </c>
      <c r="H477" s="40"/>
      <c r="I477" s="41"/>
      <c r="J477" s="41"/>
      <c r="K477" s="41"/>
      <c r="L477" s="42"/>
      <c r="M477" s="43"/>
      <c r="N477" s="44"/>
      <c r="O477" s="45"/>
      <c r="P477" s="46" t="str">
        <f>IFERROR(__xludf.DUMMYFUNCTION("IF(OR(AND(C477&lt;&gt;"""", LEN(C477)&lt;3), LEN(C477)&gt;60, AND(D477&lt;&gt;"""", NOT(ISNUMBER(D477))), AND(ISNUMBER(D477), OR(D477&lt;0.01, D477&gt;999999999)), AND(COUNTA(D477:F477, H477:N477)&gt;0, C477=""""),                  
  AND(COUNTA(C477, H477:N477)&gt;0, D477=""""), LEN("&amp;"H477)&gt;50, AND(I477&lt;&gt;"""", NOT(ISNUMBER(I477))), AND(ISNUMBER(I477), OR(I477&lt;0, I477&gt;99998)), AND(L477&lt;&gt;"""", NOT(REGEXMATCH(L477&amp;"""", ""^\d{8,14}$"")))), ""Erro"", """")"),"")</f>
      </c>
    </row>
    <row r="478" ht="15.75" customHeight="true">
      <c r="A478" s="33"/>
      <c r="B478" s="34" t="str">
        <f t="shared" si="1"/>
      </c>
      <c r="C478" s="35"/>
      <c r="D478" s="36"/>
      <c r="E478" s="37"/>
      <c r="F478" s="38"/>
      <c r="G478" s="39" t="str">
        <f t="shared" si="2"/>
      </c>
      <c r="H478" s="40"/>
      <c r="I478" s="41"/>
      <c r="J478" s="41"/>
      <c r="K478" s="41"/>
      <c r="L478" s="42"/>
      <c r="M478" s="43"/>
      <c r="N478" s="44"/>
      <c r="O478" s="45"/>
      <c r="P478" s="46" t="str">
        <f>IFERROR(__xludf.DUMMYFUNCTION("IF(OR(AND(C478&lt;&gt;"""", LEN(C478)&lt;3), LEN(C478)&gt;60, AND(D478&lt;&gt;"""", NOT(ISNUMBER(D478))), AND(ISNUMBER(D478), OR(D478&lt;0.01, D478&gt;999999999)), AND(COUNTA(D478:F478, H478:N478)&gt;0, C478=""""),                  
  AND(COUNTA(C478, H478:N478)&gt;0, D478=""""), LEN("&amp;"H478)&gt;50, AND(I478&lt;&gt;"""", NOT(ISNUMBER(I478))), AND(ISNUMBER(I478), OR(I478&lt;0, I478&gt;99998)), AND(L478&lt;&gt;"""", NOT(REGEXMATCH(L478&amp;"""", ""^\d{8,14}$"")))), ""Erro"", """")"),"")</f>
      </c>
    </row>
    <row r="479" ht="15.75" customHeight="true">
      <c r="A479" s="33"/>
      <c r="B479" s="34" t="str">
        <f t="shared" si="1"/>
      </c>
      <c r="C479" s="35"/>
      <c r="D479" s="36"/>
      <c r="E479" s="37"/>
      <c r="F479" s="38"/>
      <c r="G479" s="39" t="str">
        <f t="shared" si="2"/>
      </c>
      <c r="H479" s="40"/>
      <c r="I479" s="41"/>
      <c r="J479" s="41"/>
      <c r="K479" s="41"/>
      <c r="L479" s="42"/>
      <c r="M479" s="43"/>
      <c r="N479" s="44"/>
      <c r="O479" s="45"/>
      <c r="P479" s="46" t="str">
        <f>IFERROR(__xludf.DUMMYFUNCTION("IF(OR(AND(C479&lt;&gt;"""", LEN(C479)&lt;3), LEN(C479)&gt;60, AND(D479&lt;&gt;"""", NOT(ISNUMBER(D479))), AND(ISNUMBER(D479), OR(D479&lt;0.01, D479&gt;999999999)), AND(COUNTA(D479:F479, H479:N479)&gt;0, C479=""""),                  
  AND(COUNTA(C479, H479:N479)&gt;0, D479=""""), LEN("&amp;"H479)&gt;50, AND(I479&lt;&gt;"""", NOT(ISNUMBER(I479))), AND(ISNUMBER(I479), OR(I479&lt;0, I479&gt;99998)), AND(L479&lt;&gt;"""", NOT(REGEXMATCH(L479&amp;"""", ""^\d{8,14}$"")))), ""Erro"", """")"),"")</f>
      </c>
    </row>
    <row r="480" ht="15.75" customHeight="true">
      <c r="A480" s="33"/>
      <c r="B480" s="34" t="str">
        <f t="shared" si="1"/>
      </c>
      <c r="C480" s="35"/>
      <c r="D480" s="36"/>
      <c r="E480" s="37"/>
      <c r="F480" s="38"/>
      <c r="G480" s="39" t="str">
        <f t="shared" si="2"/>
      </c>
      <c r="H480" s="40"/>
      <c r="I480" s="41"/>
      <c r="J480" s="41"/>
      <c r="K480" s="41"/>
      <c r="L480" s="42"/>
      <c r="M480" s="43"/>
      <c r="N480" s="44"/>
      <c r="O480" s="45"/>
      <c r="P480" s="46" t="str">
        <f>IFERROR(__xludf.DUMMYFUNCTION("IF(OR(AND(C480&lt;&gt;"""", LEN(C480)&lt;3), LEN(C480)&gt;60, AND(D480&lt;&gt;"""", NOT(ISNUMBER(D480))), AND(ISNUMBER(D480), OR(D480&lt;0.01, D480&gt;999999999)), AND(COUNTA(D480:F480, H480:N480)&gt;0, C480=""""),                  
  AND(COUNTA(C480, H480:N480)&gt;0, D480=""""), LEN("&amp;"H480)&gt;50, AND(I480&lt;&gt;"""", NOT(ISNUMBER(I480))), AND(ISNUMBER(I480), OR(I480&lt;0, I480&gt;99998)), AND(L480&lt;&gt;"""", NOT(REGEXMATCH(L480&amp;"""", ""^\d{8,14}$"")))), ""Erro"", """")"),"")</f>
      </c>
    </row>
    <row r="481" ht="15.75" customHeight="true">
      <c r="A481" s="33"/>
      <c r="B481" s="34" t="str">
        <f t="shared" si="1"/>
      </c>
      <c r="C481" s="35"/>
      <c r="D481" s="36"/>
      <c r="E481" s="37"/>
      <c r="F481" s="38"/>
      <c r="G481" s="39" t="str">
        <f t="shared" si="2"/>
      </c>
      <c r="H481" s="40"/>
      <c r="I481" s="41"/>
      <c r="J481" s="41"/>
      <c r="K481" s="41"/>
      <c r="L481" s="42"/>
      <c r="M481" s="43"/>
      <c r="N481" s="44"/>
      <c r="O481" s="45"/>
      <c r="P481" s="46" t="str">
        <f>IFERROR(__xludf.DUMMYFUNCTION("IF(OR(AND(C481&lt;&gt;"""", LEN(C481)&lt;3), LEN(C481)&gt;60, AND(D481&lt;&gt;"""", NOT(ISNUMBER(D481))), AND(ISNUMBER(D481), OR(D481&lt;0.01, D481&gt;999999999)), AND(COUNTA(D481:F481, H481:N481)&gt;0, C481=""""),                  
  AND(COUNTA(C481, H481:N481)&gt;0, D481=""""), LEN("&amp;"H481)&gt;50, AND(I481&lt;&gt;"""", NOT(ISNUMBER(I481))), AND(ISNUMBER(I481), OR(I481&lt;0, I481&gt;99998)), AND(L481&lt;&gt;"""", NOT(REGEXMATCH(L481&amp;"""", ""^\d{8,14}$"")))), ""Erro"", """")"),"")</f>
      </c>
    </row>
    <row r="482" ht="15.75" customHeight="true">
      <c r="A482" s="33"/>
      <c r="B482" s="34" t="str">
        <f t="shared" si="1"/>
      </c>
      <c r="C482" s="35"/>
      <c r="D482" s="36"/>
      <c r="E482" s="37"/>
      <c r="F482" s="38"/>
      <c r="G482" s="39" t="str">
        <f t="shared" si="2"/>
      </c>
      <c r="H482" s="40"/>
      <c r="I482" s="41"/>
      <c r="J482" s="41"/>
      <c r="K482" s="41"/>
      <c r="L482" s="42"/>
      <c r="M482" s="43"/>
      <c r="N482" s="44"/>
      <c r="O482" s="45"/>
      <c r="P482" s="46" t="str">
        <f>IFERROR(__xludf.DUMMYFUNCTION("IF(OR(AND(C482&lt;&gt;"""", LEN(C482)&lt;3), LEN(C482)&gt;60, AND(D482&lt;&gt;"""", NOT(ISNUMBER(D482))), AND(ISNUMBER(D482), OR(D482&lt;0.01, D482&gt;999999999)), AND(COUNTA(D482:F482, H482:N482)&gt;0, C482=""""),                  
  AND(COUNTA(C482, H482:N482)&gt;0, D482=""""), LEN("&amp;"H482)&gt;50, AND(I482&lt;&gt;"""", NOT(ISNUMBER(I482))), AND(ISNUMBER(I482), OR(I482&lt;0, I482&gt;99998)), AND(L482&lt;&gt;"""", NOT(REGEXMATCH(L482&amp;"""", ""^\d{8,14}$"")))), ""Erro"", """")"),"")</f>
      </c>
    </row>
    <row r="483" ht="15.75" customHeight="true">
      <c r="A483" s="33"/>
      <c r="B483" s="34" t="str">
        <f t="shared" si="1"/>
      </c>
      <c r="C483" s="35"/>
      <c r="D483" s="36"/>
      <c r="E483" s="37"/>
      <c r="F483" s="38"/>
      <c r="G483" s="39" t="str">
        <f t="shared" si="2"/>
      </c>
      <c r="H483" s="40"/>
      <c r="I483" s="41"/>
      <c r="J483" s="41"/>
      <c r="K483" s="41"/>
      <c r="L483" s="42"/>
      <c r="M483" s="43"/>
      <c r="N483" s="44"/>
      <c r="O483" s="45"/>
      <c r="P483" s="46" t="str">
        <f>IFERROR(__xludf.DUMMYFUNCTION("IF(OR(AND(C483&lt;&gt;"""", LEN(C483)&lt;3), LEN(C483)&gt;60, AND(D483&lt;&gt;"""", NOT(ISNUMBER(D483))), AND(ISNUMBER(D483), OR(D483&lt;0.01, D483&gt;999999999)), AND(COUNTA(D483:F483, H483:N483)&gt;0, C483=""""),                  
  AND(COUNTA(C483, H483:N483)&gt;0, D483=""""), LEN("&amp;"H483)&gt;50, AND(I483&lt;&gt;"""", NOT(ISNUMBER(I483))), AND(ISNUMBER(I483), OR(I483&lt;0, I483&gt;99998)), AND(L483&lt;&gt;"""", NOT(REGEXMATCH(L483&amp;"""", ""^\d{8,14}$"")))), ""Erro"", """")"),"")</f>
      </c>
    </row>
    <row r="484" ht="15.75" customHeight="true">
      <c r="A484" s="33"/>
      <c r="B484" s="34" t="str">
        <f t="shared" si="1"/>
      </c>
      <c r="C484" s="35"/>
      <c r="D484" s="36"/>
      <c r="E484" s="37"/>
      <c r="F484" s="38"/>
      <c r="G484" s="39" t="str">
        <f t="shared" si="2"/>
      </c>
      <c r="H484" s="40"/>
      <c r="I484" s="41"/>
      <c r="J484" s="41"/>
      <c r="K484" s="41"/>
      <c r="L484" s="42"/>
      <c r="M484" s="43"/>
      <c r="N484" s="44"/>
      <c r="O484" s="45"/>
      <c r="P484" s="46" t="str">
        <f>IFERROR(__xludf.DUMMYFUNCTION("IF(OR(AND(C484&lt;&gt;"""", LEN(C484)&lt;3), LEN(C484)&gt;60, AND(D484&lt;&gt;"""", NOT(ISNUMBER(D484))), AND(ISNUMBER(D484), OR(D484&lt;0.01, D484&gt;999999999)), AND(COUNTA(D484:F484, H484:N484)&gt;0, C484=""""),                  
  AND(COUNTA(C484, H484:N484)&gt;0, D484=""""), LEN("&amp;"H484)&gt;50, AND(I484&lt;&gt;"""", NOT(ISNUMBER(I484))), AND(ISNUMBER(I484), OR(I484&lt;0, I484&gt;99998)), AND(L484&lt;&gt;"""", NOT(REGEXMATCH(L484&amp;"""", ""^\d{8,14}$"")))), ""Erro"", """")"),"")</f>
      </c>
    </row>
    <row r="485" ht="15.75" customHeight="true">
      <c r="A485" s="33"/>
      <c r="B485" s="34" t="str">
        <f t="shared" si="1"/>
      </c>
      <c r="C485" s="35"/>
      <c r="D485" s="36"/>
      <c r="E485" s="37"/>
      <c r="F485" s="38"/>
      <c r="G485" s="39" t="str">
        <f t="shared" si="2"/>
      </c>
      <c r="H485" s="40"/>
      <c r="I485" s="41"/>
      <c r="J485" s="41"/>
      <c r="K485" s="41"/>
      <c r="L485" s="42"/>
      <c r="M485" s="43"/>
      <c r="N485" s="44"/>
      <c r="O485" s="45"/>
      <c r="P485" s="46" t="str">
        <f>IFERROR(__xludf.DUMMYFUNCTION("IF(OR(AND(C485&lt;&gt;"""", LEN(C485)&lt;3), LEN(C485)&gt;60, AND(D485&lt;&gt;"""", NOT(ISNUMBER(D485))), AND(ISNUMBER(D485), OR(D485&lt;0.01, D485&gt;999999999)), AND(COUNTA(D485:F485, H485:N485)&gt;0, C485=""""),                  
  AND(COUNTA(C485, H485:N485)&gt;0, D485=""""), LEN("&amp;"H485)&gt;50, AND(I485&lt;&gt;"""", NOT(ISNUMBER(I485))), AND(ISNUMBER(I485), OR(I485&lt;0, I485&gt;99998)), AND(L485&lt;&gt;"""", NOT(REGEXMATCH(L485&amp;"""", ""^\d{8,14}$"")))), ""Erro"", """")"),"")</f>
      </c>
    </row>
    <row r="486" ht="15.75" customHeight="true">
      <c r="A486" s="33"/>
      <c r="B486" s="34" t="str">
        <f t="shared" si="1"/>
      </c>
      <c r="C486" s="35"/>
      <c r="D486" s="36"/>
      <c r="E486" s="37"/>
      <c r="F486" s="38"/>
      <c r="G486" s="39" t="str">
        <f t="shared" si="2"/>
      </c>
      <c r="H486" s="40"/>
      <c r="I486" s="41"/>
      <c r="J486" s="41"/>
      <c r="K486" s="41"/>
      <c r="L486" s="42"/>
      <c r="M486" s="43"/>
      <c r="N486" s="44"/>
      <c r="O486" s="45"/>
      <c r="P486" s="46" t="str">
        <f>IFERROR(__xludf.DUMMYFUNCTION("IF(OR(AND(C486&lt;&gt;"""", LEN(C486)&lt;3), LEN(C486)&gt;60, AND(D486&lt;&gt;"""", NOT(ISNUMBER(D486))), AND(ISNUMBER(D486), OR(D486&lt;0.01, D486&gt;999999999)), AND(COUNTA(D486:F486, H486:N486)&gt;0, C486=""""),                  
  AND(COUNTA(C486, H486:N486)&gt;0, D486=""""), LEN("&amp;"H486)&gt;50, AND(I486&lt;&gt;"""", NOT(ISNUMBER(I486))), AND(ISNUMBER(I486), OR(I486&lt;0, I486&gt;99998)), AND(L486&lt;&gt;"""", NOT(REGEXMATCH(L486&amp;"""", ""^\d{8,14}$"")))), ""Erro"", """")"),"")</f>
      </c>
    </row>
    <row r="487" ht="15.75" customHeight="true">
      <c r="A487" s="33"/>
      <c r="B487" s="34" t="str">
        <f t="shared" si="1"/>
      </c>
      <c r="C487" s="35"/>
      <c r="D487" s="36"/>
      <c r="E487" s="37"/>
      <c r="F487" s="38"/>
      <c r="G487" s="39" t="str">
        <f t="shared" si="2"/>
      </c>
      <c r="H487" s="40"/>
      <c r="I487" s="41"/>
      <c r="J487" s="41"/>
      <c r="K487" s="41"/>
      <c r="L487" s="42"/>
      <c r="M487" s="43"/>
      <c r="N487" s="44"/>
      <c r="O487" s="45"/>
      <c r="P487" s="46" t="str">
        <f>IFERROR(__xludf.DUMMYFUNCTION("IF(OR(AND(C487&lt;&gt;"""", LEN(C487)&lt;3), LEN(C487)&gt;60, AND(D487&lt;&gt;"""", NOT(ISNUMBER(D487))), AND(ISNUMBER(D487), OR(D487&lt;0.01, D487&gt;999999999)), AND(COUNTA(D487:F487, H487:N487)&gt;0, C487=""""),                  
  AND(COUNTA(C487, H487:N487)&gt;0, D487=""""), LEN("&amp;"H487)&gt;50, AND(I487&lt;&gt;"""", NOT(ISNUMBER(I487))), AND(ISNUMBER(I487), OR(I487&lt;0, I487&gt;99998)), AND(L487&lt;&gt;"""", NOT(REGEXMATCH(L487&amp;"""", ""^\d{8,14}$"")))), ""Erro"", """")"),"")</f>
      </c>
    </row>
    <row r="488" ht="15.75" customHeight="true">
      <c r="A488" s="33"/>
      <c r="B488" s="34" t="str">
        <f t="shared" si="1"/>
      </c>
      <c r="C488" s="35"/>
      <c r="D488" s="36"/>
      <c r="E488" s="37"/>
      <c r="F488" s="38"/>
      <c r="G488" s="39" t="str">
        <f t="shared" si="2"/>
      </c>
      <c r="H488" s="40"/>
      <c r="I488" s="41"/>
      <c r="J488" s="41"/>
      <c r="K488" s="41"/>
      <c r="L488" s="42"/>
      <c r="M488" s="43"/>
      <c r="N488" s="44"/>
      <c r="O488" s="45"/>
      <c r="P488" s="46" t="str">
        <f>IFERROR(__xludf.DUMMYFUNCTION("IF(OR(AND(C488&lt;&gt;"""", LEN(C488)&lt;3), LEN(C488)&gt;60, AND(D488&lt;&gt;"""", NOT(ISNUMBER(D488))), AND(ISNUMBER(D488), OR(D488&lt;0.01, D488&gt;999999999)), AND(COUNTA(D488:F488, H488:N488)&gt;0, C488=""""),                  
  AND(COUNTA(C488, H488:N488)&gt;0, D488=""""), LEN("&amp;"H488)&gt;50, AND(I488&lt;&gt;"""", NOT(ISNUMBER(I488))), AND(ISNUMBER(I488), OR(I488&lt;0, I488&gt;99998)), AND(L488&lt;&gt;"""", NOT(REGEXMATCH(L488&amp;"""", ""^\d{8,14}$"")))), ""Erro"", """")"),"")</f>
      </c>
    </row>
    <row r="489" ht="15.75" customHeight="true">
      <c r="A489" s="33"/>
      <c r="B489" s="34" t="str">
        <f t="shared" si="1"/>
      </c>
      <c r="C489" s="35"/>
      <c r="D489" s="36"/>
      <c r="E489" s="37"/>
      <c r="F489" s="38"/>
      <c r="G489" s="39" t="str">
        <f t="shared" si="2"/>
      </c>
      <c r="H489" s="40"/>
      <c r="I489" s="41"/>
      <c r="J489" s="41"/>
      <c r="K489" s="41"/>
      <c r="L489" s="42"/>
      <c r="M489" s="43"/>
      <c r="N489" s="44"/>
      <c r="O489" s="45"/>
      <c r="P489" s="46" t="str">
        <f>IFERROR(__xludf.DUMMYFUNCTION("IF(OR(AND(C489&lt;&gt;"""", LEN(C489)&lt;3), LEN(C489)&gt;60, AND(D489&lt;&gt;"""", NOT(ISNUMBER(D489))), AND(ISNUMBER(D489), OR(D489&lt;0.01, D489&gt;999999999)), AND(COUNTA(D489:F489, H489:N489)&gt;0, C489=""""),                  
  AND(COUNTA(C489, H489:N489)&gt;0, D489=""""), LEN("&amp;"H489)&gt;50, AND(I489&lt;&gt;"""", NOT(ISNUMBER(I489))), AND(ISNUMBER(I489), OR(I489&lt;0, I489&gt;99998)), AND(L489&lt;&gt;"""", NOT(REGEXMATCH(L489&amp;"""", ""^\d{8,14}$"")))), ""Erro"", """")"),"")</f>
      </c>
    </row>
    <row r="490" ht="15.75" customHeight="true">
      <c r="A490" s="33"/>
      <c r="B490" s="34" t="str">
        <f t="shared" si="1"/>
      </c>
      <c r="C490" s="35"/>
      <c r="D490" s="36"/>
      <c r="E490" s="37"/>
      <c r="F490" s="38"/>
      <c r="G490" s="39" t="str">
        <f t="shared" si="2"/>
      </c>
      <c r="H490" s="40"/>
      <c r="I490" s="41"/>
      <c r="J490" s="41"/>
      <c r="K490" s="41"/>
      <c r="L490" s="42"/>
      <c r="M490" s="43"/>
      <c r="N490" s="44"/>
      <c r="O490" s="45"/>
      <c r="P490" s="46" t="str">
        <f>IFERROR(__xludf.DUMMYFUNCTION("IF(OR(AND(C490&lt;&gt;"""", LEN(C490)&lt;3), LEN(C490)&gt;60, AND(D490&lt;&gt;"""", NOT(ISNUMBER(D490))), AND(ISNUMBER(D490), OR(D490&lt;0.01, D490&gt;999999999)), AND(COUNTA(D490:F490, H490:N490)&gt;0, C490=""""),                  
  AND(COUNTA(C490, H490:N490)&gt;0, D490=""""), LEN("&amp;"H490)&gt;50, AND(I490&lt;&gt;"""", NOT(ISNUMBER(I490))), AND(ISNUMBER(I490), OR(I490&lt;0, I490&gt;99998)), AND(L490&lt;&gt;"""", NOT(REGEXMATCH(L490&amp;"""", ""^\d{8,14}$"")))), ""Erro"", """")"),"")</f>
      </c>
    </row>
    <row r="491" ht="15.75" customHeight="true">
      <c r="A491" s="33"/>
      <c r="B491" s="34" t="str">
        <f t="shared" si="1"/>
      </c>
      <c r="C491" s="35"/>
      <c r="D491" s="36"/>
      <c r="E491" s="37"/>
      <c r="F491" s="38"/>
      <c r="G491" s="39" t="str">
        <f t="shared" si="2"/>
      </c>
      <c r="H491" s="40"/>
      <c r="I491" s="41"/>
      <c r="J491" s="41"/>
      <c r="K491" s="41"/>
      <c r="L491" s="42"/>
      <c r="M491" s="43"/>
      <c r="N491" s="44"/>
      <c r="O491" s="45"/>
      <c r="P491" s="46" t="str">
        <f>IFERROR(__xludf.DUMMYFUNCTION("IF(OR(AND(C491&lt;&gt;"""", LEN(C491)&lt;3), LEN(C491)&gt;60, AND(D491&lt;&gt;"""", NOT(ISNUMBER(D491))), AND(ISNUMBER(D491), OR(D491&lt;0.01, D491&gt;999999999)), AND(COUNTA(D491:F491, H491:N491)&gt;0, C491=""""),                  
  AND(COUNTA(C491, H491:N491)&gt;0, D491=""""), LEN("&amp;"H491)&gt;50, AND(I491&lt;&gt;"""", NOT(ISNUMBER(I491))), AND(ISNUMBER(I491), OR(I491&lt;0, I491&gt;99998)), AND(L491&lt;&gt;"""", NOT(REGEXMATCH(L491&amp;"""", ""^\d{8,14}$"")))), ""Erro"", """")"),"")</f>
      </c>
    </row>
    <row r="492" ht="15.75" customHeight="true">
      <c r="A492" s="33"/>
      <c r="B492" s="34" t="str">
        <f t="shared" si="1"/>
      </c>
      <c r="C492" s="35"/>
      <c r="D492" s="36"/>
      <c r="E492" s="37"/>
      <c r="F492" s="38"/>
      <c r="G492" s="39" t="str">
        <f t="shared" si="2"/>
      </c>
      <c r="H492" s="40"/>
      <c r="I492" s="41"/>
      <c r="J492" s="41"/>
      <c r="K492" s="41"/>
      <c r="L492" s="42"/>
      <c r="M492" s="43"/>
      <c r="N492" s="44"/>
      <c r="O492" s="45"/>
      <c r="P492" s="46" t="str">
        <f>IFERROR(__xludf.DUMMYFUNCTION("IF(OR(AND(C492&lt;&gt;"""", LEN(C492)&lt;3), LEN(C492)&gt;60, AND(D492&lt;&gt;"""", NOT(ISNUMBER(D492))), AND(ISNUMBER(D492), OR(D492&lt;0.01, D492&gt;999999999)), AND(COUNTA(D492:F492, H492:N492)&gt;0, C492=""""),                  
  AND(COUNTA(C492, H492:N492)&gt;0, D492=""""), LEN("&amp;"H492)&gt;50, AND(I492&lt;&gt;"""", NOT(ISNUMBER(I492))), AND(ISNUMBER(I492), OR(I492&lt;0, I492&gt;99998)), AND(L492&lt;&gt;"""", NOT(REGEXMATCH(L492&amp;"""", ""^\d{8,14}$"")))), ""Erro"", """")"),"")</f>
      </c>
    </row>
    <row r="493" ht="15.75" customHeight="true">
      <c r="A493" s="33"/>
      <c r="B493" s="34" t="str">
        <f t="shared" si="1"/>
      </c>
      <c r="C493" s="35"/>
      <c r="D493" s="36"/>
      <c r="E493" s="37"/>
      <c r="F493" s="38"/>
      <c r="G493" s="39" t="str">
        <f t="shared" si="2"/>
      </c>
      <c r="H493" s="40"/>
      <c r="I493" s="41"/>
      <c r="J493" s="41"/>
      <c r="K493" s="41"/>
      <c r="L493" s="42"/>
      <c r="M493" s="43"/>
      <c r="N493" s="44"/>
      <c r="O493" s="45"/>
      <c r="P493" s="46" t="str">
        <f>IFERROR(__xludf.DUMMYFUNCTION("IF(OR(AND(C493&lt;&gt;"""", LEN(C493)&lt;3), LEN(C493)&gt;60, AND(D493&lt;&gt;"""", NOT(ISNUMBER(D493))), AND(ISNUMBER(D493), OR(D493&lt;0.01, D493&gt;999999999)), AND(COUNTA(D493:F493, H493:N493)&gt;0, C493=""""),                  
  AND(COUNTA(C493, H493:N493)&gt;0, D493=""""), LEN("&amp;"H493)&gt;50, AND(I493&lt;&gt;"""", NOT(ISNUMBER(I493))), AND(ISNUMBER(I493), OR(I493&lt;0, I493&gt;99998)), AND(L493&lt;&gt;"""", NOT(REGEXMATCH(L493&amp;"""", ""^\d{8,14}$"")))), ""Erro"", """")"),"")</f>
      </c>
    </row>
    <row r="494" ht="15.75" customHeight="true">
      <c r="A494" s="33"/>
      <c r="B494" s="34" t="str">
        <f t="shared" si="1"/>
      </c>
      <c r="C494" s="35"/>
      <c r="D494" s="36"/>
      <c r="E494" s="37"/>
      <c r="F494" s="38"/>
      <c r="G494" s="39" t="str">
        <f t="shared" si="2"/>
      </c>
      <c r="H494" s="40"/>
      <c r="I494" s="41"/>
      <c r="J494" s="41"/>
      <c r="K494" s="41"/>
      <c r="L494" s="42"/>
      <c r="M494" s="43"/>
      <c r="N494" s="44"/>
      <c r="O494" s="45"/>
      <c r="P494" s="46" t="str">
        <f>IFERROR(__xludf.DUMMYFUNCTION("IF(OR(AND(C494&lt;&gt;"""", LEN(C494)&lt;3), LEN(C494)&gt;60, AND(D494&lt;&gt;"""", NOT(ISNUMBER(D494))), AND(ISNUMBER(D494), OR(D494&lt;0.01, D494&gt;999999999)), AND(COUNTA(D494:F494, H494:N494)&gt;0, C494=""""),                  
  AND(COUNTA(C494, H494:N494)&gt;0, D494=""""), LEN("&amp;"H494)&gt;50, AND(I494&lt;&gt;"""", NOT(ISNUMBER(I494))), AND(ISNUMBER(I494), OR(I494&lt;0, I494&gt;99998)), AND(L494&lt;&gt;"""", NOT(REGEXMATCH(L494&amp;"""", ""^\d{8,14}$"")))), ""Erro"", """")"),"")</f>
      </c>
    </row>
    <row r="495" ht="15.75" customHeight="true">
      <c r="A495" s="33"/>
      <c r="B495" s="34" t="str">
        <f t="shared" si="1"/>
      </c>
      <c r="C495" s="35"/>
      <c r="D495" s="36"/>
      <c r="E495" s="37"/>
      <c r="F495" s="38"/>
      <c r="G495" s="39" t="str">
        <f t="shared" si="2"/>
      </c>
      <c r="H495" s="40"/>
      <c r="I495" s="41"/>
      <c r="J495" s="41"/>
      <c r="K495" s="41"/>
      <c r="L495" s="42"/>
      <c r="M495" s="43"/>
      <c r="N495" s="44"/>
      <c r="O495" s="45"/>
      <c r="P495" s="46" t="str">
        <f>IFERROR(__xludf.DUMMYFUNCTION("IF(OR(AND(C495&lt;&gt;"""", LEN(C495)&lt;3), LEN(C495)&gt;60, AND(D495&lt;&gt;"""", NOT(ISNUMBER(D495))), AND(ISNUMBER(D495), OR(D495&lt;0.01, D495&gt;999999999)), AND(COUNTA(D495:F495, H495:N495)&gt;0, C495=""""),                  
  AND(COUNTA(C495, H495:N495)&gt;0, D495=""""), LEN("&amp;"H495)&gt;50, AND(I495&lt;&gt;"""", NOT(ISNUMBER(I495))), AND(ISNUMBER(I495), OR(I495&lt;0, I495&gt;99998)), AND(L495&lt;&gt;"""", NOT(REGEXMATCH(L495&amp;"""", ""^\d{8,14}$"")))), ""Erro"", """")"),"")</f>
      </c>
    </row>
    <row r="496" ht="15.75" customHeight="true">
      <c r="A496" s="33"/>
      <c r="B496" s="34" t="str">
        <f t="shared" si="1"/>
      </c>
      <c r="C496" s="35"/>
      <c r="D496" s="36"/>
      <c r="E496" s="37"/>
      <c r="F496" s="38"/>
      <c r="G496" s="39" t="str">
        <f t="shared" si="2"/>
      </c>
      <c r="H496" s="40"/>
      <c r="I496" s="41"/>
      <c r="J496" s="41"/>
      <c r="K496" s="41"/>
      <c r="L496" s="42"/>
      <c r="M496" s="43"/>
      <c r="N496" s="44"/>
      <c r="O496" s="45"/>
      <c r="P496" s="46" t="str">
        <f>IFERROR(__xludf.DUMMYFUNCTION("IF(OR(AND(C496&lt;&gt;"""", LEN(C496)&lt;3), LEN(C496)&gt;60, AND(D496&lt;&gt;"""", NOT(ISNUMBER(D496))), AND(ISNUMBER(D496), OR(D496&lt;0.01, D496&gt;999999999)), AND(COUNTA(D496:F496, H496:N496)&gt;0, C496=""""),                  
  AND(COUNTA(C496, H496:N496)&gt;0, D496=""""), LEN("&amp;"H496)&gt;50, AND(I496&lt;&gt;"""", NOT(ISNUMBER(I496))), AND(ISNUMBER(I496), OR(I496&lt;0, I496&gt;99998)), AND(L496&lt;&gt;"""", NOT(REGEXMATCH(L496&amp;"""", ""^\d{8,14}$"")))), ""Erro"", """")"),"")</f>
      </c>
    </row>
    <row r="497" ht="15.75" customHeight="true">
      <c r="A497" s="33"/>
      <c r="B497" s="34" t="str">
        <f t="shared" si="1"/>
      </c>
      <c r="C497" s="35"/>
      <c r="D497" s="36"/>
      <c r="E497" s="37"/>
      <c r="F497" s="38"/>
      <c r="G497" s="39" t="str">
        <f t="shared" si="2"/>
      </c>
      <c r="H497" s="40"/>
      <c r="I497" s="41"/>
      <c r="J497" s="41"/>
      <c r="K497" s="41"/>
      <c r="L497" s="42"/>
      <c r="M497" s="43"/>
      <c r="N497" s="44"/>
      <c r="O497" s="45"/>
      <c r="P497" s="46" t="str">
        <f>IFERROR(__xludf.DUMMYFUNCTION("IF(OR(AND(C497&lt;&gt;"""", LEN(C497)&lt;3), LEN(C497)&gt;60, AND(D497&lt;&gt;"""", NOT(ISNUMBER(D497))), AND(ISNUMBER(D497), OR(D497&lt;0.01, D497&gt;999999999)), AND(COUNTA(D497:F497, H497:N497)&gt;0, C497=""""),                  
  AND(COUNTA(C497, H497:N497)&gt;0, D497=""""), LEN("&amp;"H497)&gt;50, AND(I497&lt;&gt;"""", NOT(ISNUMBER(I497))), AND(ISNUMBER(I497), OR(I497&lt;0, I497&gt;99998)), AND(L497&lt;&gt;"""", NOT(REGEXMATCH(L497&amp;"""", ""^\d{8,14}$"")))), ""Erro"", """")"),"")</f>
      </c>
    </row>
    <row r="498" ht="15.75" customHeight="true">
      <c r="A498" s="33"/>
      <c r="B498" s="34" t="str">
        <f t="shared" si="1"/>
      </c>
      <c r="C498" s="35"/>
      <c r="D498" s="36"/>
      <c r="E498" s="37"/>
      <c r="F498" s="38"/>
      <c r="G498" s="39" t="str">
        <f t="shared" si="2"/>
      </c>
      <c r="H498" s="40"/>
      <c r="I498" s="41"/>
      <c r="J498" s="41"/>
      <c r="K498" s="41"/>
      <c r="L498" s="42"/>
      <c r="M498" s="43"/>
      <c r="N498" s="44"/>
      <c r="O498" s="45"/>
      <c r="P498" s="46" t="str">
        <f>IFERROR(__xludf.DUMMYFUNCTION("IF(OR(AND(C498&lt;&gt;"""", LEN(C498)&lt;3), LEN(C498)&gt;60, AND(D498&lt;&gt;"""", NOT(ISNUMBER(D498))), AND(ISNUMBER(D498), OR(D498&lt;0.01, D498&gt;999999999)), AND(COUNTA(D498:F498, H498:N498)&gt;0, C498=""""),                  
  AND(COUNTA(C498, H498:N498)&gt;0, D498=""""), LEN("&amp;"H498)&gt;50, AND(I498&lt;&gt;"""", NOT(ISNUMBER(I498))), AND(ISNUMBER(I498), OR(I498&lt;0, I498&gt;99998)), AND(L498&lt;&gt;"""", NOT(REGEXMATCH(L498&amp;"""", ""^\d{8,14}$"")))), ""Erro"", """")"),"")</f>
      </c>
    </row>
    <row r="499" ht="15.75" customHeight="true">
      <c r="A499" s="33"/>
      <c r="B499" s="34" t="str">
        <f t="shared" si="1"/>
      </c>
      <c r="C499" s="35"/>
      <c r="D499" s="36"/>
      <c r="E499" s="37"/>
      <c r="F499" s="38"/>
      <c r="G499" s="39" t="str">
        <f t="shared" si="2"/>
      </c>
      <c r="H499" s="40"/>
      <c r="I499" s="41"/>
      <c r="J499" s="41"/>
      <c r="K499" s="41"/>
      <c r="L499" s="42"/>
      <c r="M499" s="43"/>
      <c r="N499" s="44"/>
      <c r="O499" s="45"/>
      <c r="P499" s="46" t="str">
        <f>IFERROR(__xludf.DUMMYFUNCTION("IF(OR(AND(C499&lt;&gt;"""", LEN(C499)&lt;3), LEN(C499)&gt;60, AND(D499&lt;&gt;"""", NOT(ISNUMBER(D499))), AND(ISNUMBER(D499), OR(D499&lt;0.01, D499&gt;999999999)), AND(COUNTA(D499:F499, H499:N499)&gt;0, C499=""""),                  
  AND(COUNTA(C499, H499:N499)&gt;0, D499=""""), LEN("&amp;"H499)&gt;50, AND(I499&lt;&gt;"""", NOT(ISNUMBER(I499))), AND(ISNUMBER(I499), OR(I499&lt;0, I499&gt;99998)), AND(L499&lt;&gt;"""", NOT(REGEXMATCH(L499&amp;"""", ""^\d{8,14}$"")))), ""Erro"", """")"),"")</f>
      </c>
    </row>
    <row r="500" ht="15.75" customHeight="true">
      <c r="A500" s="33"/>
      <c r="B500" s="34" t="str">
        <f t="shared" si="1"/>
      </c>
      <c r="C500" s="35"/>
      <c r="D500" s="36"/>
      <c r="E500" s="37"/>
      <c r="F500" s="38"/>
      <c r="G500" s="39" t="str">
        <f t="shared" si="2"/>
      </c>
      <c r="H500" s="40"/>
      <c r="I500" s="41"/>
      <c r="J500" s="41"/>
      <c r="K500" s="41"/>
      <c r="L500" s="42"/>
      <c r="M500" s="43"/>
      <c r="N500" s="44"/>
      <c r="O500" s="45"/>
      <c r="P500" s="46" t="str">
        <f>IFERROR(__xludf.DUMMYFUNCTION("IF(OR(AND(C500&lt;&gt;"""", LEN(C500)&lt;3), LEN(C500)&gt;60, AND(D500&lt;&gt;"""", NOT(ISNUMBER(D500))), AND(ISNUMBER(D500), OR(D500&lt;0.01, D500&gt;999999999)), AND(COUNTA(D500:F500, H500:N500)&gt;0, C500=""""),                  
  AND(COUNTA(C500, H500:N500)&gt;0, D500=""""), LEN("&amp;"H500)&gt;50, AND(I500&lt;&gt;"""", NOT(ISNUMBER(I500))), AND(ISNUMBER(I500), OR(I500&lt;0, I500&gt;99998)), AND(L500&lt;&gt;"""", NOT(REGEXMATCH(L500&amp;"""", ""^\d{8,14}$"")))), ""Erro"", """")"),"")</f>
      </c>
    </row>
    <row r="501" ht="15.75" customHeight="true">
      <c r="A501" s="33"/>
      <c r="B501" s="34" t="str">
        <f t="shared" si="1"/>
      </c>
      <c r="C501" s="35"/>
      <c r="D501" s="36"/>
      <c r="E501" s="37"/>
      <c r="F501" s="38"/>
      <c r="G501" s="39" t="str">
        <f t="shared" si="2"/>
      </c>
      <c r="H501" s="40"/>
      <c r="I501" s="41"/>
      <c r="J501" s="41"/>
      <c r="K501" s="41"/>
      <c r="L501" s="42"/>
      <c r="M501" s="43"/>
      <c r="N501" s="44"/>
      <c r="O501" s="45"/>
      <c r="P501" s="46" t="str">
        <f>IFERROR(__xludf.DUMMYFUNCTION("IF(OR(AND(C501&lt;&gt;"""", LEN(C501)&lt;3), LEN(C501)&gt;60, AND(D501&lt;&gt;"""", NOT(ISNUMBER(D501))), AND(ISNUMBER(D501), OR(D501&lt;0.01, D501&gt;999999999)), AND(COUNTA(D501:F501, H501:N501)&gt;0, C501=""""),                  
  AND(COUNTA(C501, H501:N501)&gt;0, D501=""""), LEN("&amp;"H501)&gt;50, AND(I501&lt;&gt;"""", NOT(ISNUMBER(I501))), AND(ISNUMBER(I501), OR(I501&lt;0, I501&gt;99998)), AND(L501&lt;&gt;"""", NOT(REGEXMATCH(L501&amp;"""", ""^\d{8,14}$"")))), ""Erro"", """")"),"")</f>
      </c>
    </row>
    <row r="502" ht="15.75" customHeight="true">
      <c r="A502" s="33"/>
      <c r="B502" s="34" t="str">
        <f t="shared" si="1"/>
      </c>
      <c r="C502" s="35"/>
      <c r="D502" s="36"/>
      <c r="E502" s="37"/>
      <c r="F502" s="38"/>
      <c r="G502" s="39" t="str">
        <f t="shared" si="2"/>
      </c>
      <c r="H502" s="40"/>
      <c r="I502" s="41"/>
      <c r="J502" s="41"/>
      <c r="K502" s="41"/>
      <c r="L502" s="42"/>
      <c r="M502" s="43"/>
      <c r="N502" s="44"/>
      <c r="O502" s="45"/>
      <c r="P502" s="46" t="str">
        <f>IFERROR(__xludf.DUMMYFUNCTION("IF(OR(AND(C502&lt;&gt;"""", LEN(C502)&lt;3), LEN(C502)&gt;60, AND(D502&lt;&gt;"""", NOT(ISNUMBER(D502))), AND(ISNUMBER(D502), OR(D502&lt;0.01, D502&gt;999999999)), AND(COUNTA(D502:F502, H502:N502)&gt;0, C502=""""),                  
  AND(COUNTA(C502, H502:N502)&gt;0, D502=""""), LEN("&amp;"H502)&gt;50, AND(I502&lt;&gt;"""", NOT(ISNUMBER(I502))), AND(ISNUMBER(I502), OR(I502&lt;0, I502&gt;99998)), AND(L502&lt;&gt;"""", NOT(REGEXMATCH(L502&amp;"""", ""^\d{8,14}$"")))), ""Erro"", """")"),"")</f>
      </c>
    </row>
    <row r="503" ht="15.75" customHeight="true">
      <c r="A503" s="33"/>
      <c r="B503" s="34" t="str">
        <f t="shared" si="1"/>
      </c>
      <c r="C503" s="35"/>
      <c r="D503" s="36"/>
      <c r="E503" s="37"/>
      <c r="F503" s="38"/>
      <c r="G503" s="39" t="str">
        <f t="shared" si="2"/>
      </c>
      <c r="H503" s="40"/>
      <c r="I503" s="41"/>
      <c r="J503" s="41"/>
      <c r="K503" s="41"/>
      <c r="L503" s="42"/>
      <c r="M503" s="43"/>
      <c r="N503" s="44"/>
      <c r="O503" s="45"/>
      <c r="P503" s="46" t="str">
        <f>IFERROR(__xludf.DUMMYFUNCTION("IF(OR(AND(C503&lt;&gt;"""", LEN(C503)&lt;3), LEN(C503)&gt;60, AND(D503&lt;&gt;"""", NOT(ISNUMBER(D503))), AND(ISNUMBER(D503), OR(D503&lt;0.01, D503&gt;999999999)), AND(COUNTA(D503:F503, H503:N503)&gt;0, C503=""""),                  
  AND(COUNTA(C503, H503:N503)&gt;0, D503=""""), LEN("&amp;"H503)&gt;50, AND(I503&lt;&gt;"""", NOT(ISNUMBER(I503))), AND(ISNUMBER(I503), OR(I503&lt;0, I503&gt;99998)), AND(L503&lt;&gt;"""", NOT(REGEXMATCH(L503&amp;"""", ""^\d{8,14}$"")))), ""Erro"", """")"),"")</f>
      </c>
    </row>
    <row r="504" ht="15.75" customHeight="true">
      <c r="A504" s="33"/>
      <c r="B504" s="34" t="str">
        <f t="shared" si="1"/>
      </c>
      <c r="C504" s="35"/>
      <c r="D504" s="36"/>
      <c r="E504" s="37"/>
      <c r="F504" s="38"/>
      <c r="G504" s="39" t="str">
        <f t="shared" si="2"/>
      </c>
      <c r="H504" s="40"/>
      <c r="I504" s="41"/>
      <c r="J504" s="41"/>
      <c r="K504" s="41"/>
      <c r="L504" s="42"/>
      <c r="M504" s="43"/>
      <c r="N504" s="44"/>
      <c r="O504" s="45"/>
      <c r="P504" s="46" t="str">
        <f>IFERROR(__xludf.DUMMYFUNCTION("IF(OR(AND(C504&lt;&gt;"""", LEN(C504)&lt;3), LEN(C504)&gt;60, AND(D504&lt;&gt;"""", NOT(ISNUMBER(D504))), AND(ISNUMBER(D504), OR(D504&lt;0.01, D504&gt;999999999)), AND(COUNTA(D504:F504, H504:N504)&gt;0, C504=""""),                  
  AND(COUNTA(C504, H504:N504)&gt;0, D504=""""), LEN("&amp;"H504)&gt;50, AND(I504&lt;&gt;"""", NOT(ISNUMBER(I504))), AND(ISNUMBER(I504), OR(I504&lt;0, I504&gt;99998)), AND(L504&lt;&gt;"""", NOT(REGEXMATCH(L504&amp;"""", ""^\d{8,14}$"")))), ""Erro"", """")"),"")</f>
      </c>
    </row>
    <row r="505" ht="15.75" customHeight="true">
      <c r="A505" s="33"/>
      <c r="B505" s="34" t="str">
        <f t="shared" si="1"/>
      </c>
      <c r="C505" s="35"/>
      <c r="D505" s="36"/>
      <c r="E505" s="37"/>
      <c r="F505" s="38"/>
      <c r="G505" s="39" t="str">
        <f t="shared" si="2"/>
      </c>
      <c r="H505" s="40"/>
      <c r="I505" s="41"/>
      <c r="J505" s="41"/>
      <c r="K505" s="41"/>
      <c r="L505" s="42"/>
      <c r="M505" s="43"/>
      <c r="N505" s="44"/>
      <c r="O505" s="45"/>
      <c r="P505" s="46" t="str">
        <f>IFERROR(__xludf.DUMMYFUNCTION("IF(OR(AND(C505&lt;&gt;"""", LEN(C505)&lt;3), LEN(C505)&gt;60, AND(D505&lt;&gt;"""", NOT(ISNUMBER(D505))), AND(ISNUMBER(D505), OR(D505&lt;0.01, D505&gt;999999999)), AND(COUNTA(D505:F505, H505:N505)&gt;0, C505=""""),                  
  AND(COUNTA(C505, H505:N505)&gt;0, D505=""""), LEN("&amp;"H505)&gt;50, AND(I505&lt;&gt;"""", NOT(ISNUMBER(I505))), AND(ISNUMBER(I505), OR(I505&lt;0, I505&gt;99998)), AND(L505&lt;&gt;"""", NOT(REGEXMATCH(L505&amp;"""", ""^\d{8,14}$"")))), ""Erro"", """")"),"")</f>
      </c>
    </row>
    <row r="506" ht="15.75" customHeight="true">
      <c r="A506" s="33"/>
      <c r="B506" s="34" t="str">
        <f t="shared" si="1"/>
      </c>
      <c r="C506" s="35"/>
      <c r="D506" s="36"/>
      <c r="E506" s="37"/>
      <c r="F506" s="38"/>
      <c r="G506" s="39" t="str">
        <f t="shared" si="2"/>
      </c>
      <c r="H506" s="40"/>
      <c r="I506" s="41"/>
      <c r="J506" s="41"/>
      <c r="K506" s="41"/>
      <c r="L506" s="42"/>
      <c r="M506" s="43"/>
      <c r="N506" s="44"/>
      <c r="O506" s="45"/>
      <c r="P506" s="46" t="str">
        <f>IFERROR(__xludf.DUMMYFUNCTION("IF(OR(AND(C506&lt;&gt;"""", LEN(C506)&lt;3), LEN(C506)&gt;60, AND(D506&lt;&gt;"""", NOT(ISNUMBER(D506))), AND(ISNUMBER(D506), OR(D506&lt;0.01, D506&gt;999999999)), AND(COUNTA(D506:F506, H506:N506)&gt;0, C506=""""),                  
  AND(COUNTA(C506, H506:N506)&gt;0, D506=""""), LEN("&amp;"H506)&gt;50, AND(I506&lt;&gt;"""", NOT(ISNUMBER(I506))), AND(ISNUMBER(I506), OR(I506&lt;0, I506&gt;99998)), AND(L506&lt;&gt;"""", NOT(REGEXMATCH(L506&amp;"""", ""^\d{8,14}$"")))), ""Erro"", """")"),"")</f>
      </c>
    </row>
    <row r="507" ht="15.75" customHeight="true">
      <c r="A507" s="33"/>
      <c r="B507" s="34" t="str">
        <f t="shared" si="1"/>
      </c>
      <c r="C507" s="35"/>
      <c r="D507" s="36"/>
      <c r="E507" s="37"/>
      <c r="F507" s="38"/>
      <c r="G507" s="39" t="str">
        <f t="shared" si="2"/>
      </c>
      <c r="H507" s="40"/>
      <c r="I507" s="41"/>
      <c r="J507" s="41"/>
      <c r="K507" s="41"/>
      <c r="L507" s="42"/>
      <c r="M507" s="43"/>
      <c r="N507" s="44"/>
      <c r="O507" s="45"/>
      <c r="P507" s="46" t="str">
        <f>IFERROR(__xludf.DUMMYFUNCTION("IF(OR(AND(C507&lt;&gt;"""", LEN(C507)&lt;3), LEN(C507)&gt;60, AND(D507&lt;&gt;"""", NOT(ISNUMBER(D507))), AND(ISNUMBER(D507), OR(D507&lt;0.01, D507&gt;999999999)), AND(COUNTA(D507:F507, H507:N507)&gt;0, C507=""""),                  
  AND(COUNTA(C507, H507:N507)&gt;0, D507=""""), LEN("&amp;"H507)&gt;50, AND(I507&lt;&gt;"""", NOT(ISNUMBER(I507))), AND(ISNUMBER(I507), OR(I507&lt;0, I507&gt;99998)), AND(L507&lt;&gt;"""", NOT(REGEXMATCH(L507&amp;"""", ""^\d{8,14}$"")))), ""Erro"", """")"),"")</f>
      </c>
    </row>
    <row r="508" ht="15.75" customHeight="true">
      <c r="A508" s="33"/>
      <c r="B508" s="34" t="str">
        <f t="shared" si="1"/>
      </c>
      <c r="C508" s="35"/>
      <c r="D508" s="36"/>
      <c r="E508" s="37"/>
      <c r="F508" s="38"/>
      <c r="G508" s="39" t="str">
        <f t="shared" si="2"/>
      </c>
      <c r="H508" s="40"/>
      <c r="I508" s="41"/>
      <c r="J508" s="41"/>
      <c r="K508" s="41"/>
      <c r="L508" s="42"/>
      <c r="M508" s="43"/>
      <c r="N508" s="44"/>
      <c r="O508" s="45"/>
      <c r="P508" s="46" t="str">
        <f>IFERROR(__xludf.DUMMYFUNCTION("IF(OR(AND(C508&lt;&gt;"""", LEN(C508)&lt;3), LEN(C508)&gt;60, AND(D508&lt;&gt;"""", NOT(ISNUMBER(D508))), AND(ISNUMBER(D508), OR(D508&lt;0.01, D508&gt;999999999)), AND(COUNTA(D508:F508, H508:N508)&gt;0, C508=""""),                  
  AND(COUNTA(C508, H508:N508)&gt;0, D508=""""), LEN("&amp;"H508)&gt;50, AND(I508&lt;&gt;"""", NOT(ISNUMBER(I508))), AND(ISNUMBER(I508), OR(I508&lt;0, I508&gt;99998)), AND(L508&lt;&gt;"""", NOT(REGEXMATCH(L508&amp;"""", ""^\d{8,14}$"")))), ""Erro"", """")"),"")</f>
      </c>
    </row>
    <row r="509" ht="15.75" customHeight="true">
      <c r="A509" s="33"/>
      <c r="B509" s="34" t="str">
        <f t="shared" si="1"/>
      </c>
      <c r="C509" s="35"/>
      <c r="D509" s="36"/>
      <c r="E509" s="37"/>
      <c r="F509" s="38"/>
      <c r="G509" s="39" t="str">
        <f t="shared" si="2"/>
      </c>
      <c r="H509" s="40"/>
      <c r="I509" s="41"/>
      <c r="J509" s="41"/>
      <c r="K509" s="41"/>
      <c r="L509" s="42"/>
      <c r="M509" s="43"/>
      <c r="N509" s="44"/>
      <c r="O509" s="45"/>
      <c r="P509" s="46" t="str">
        <f>IFERROR(__xludf.DUMMYFUNCTION("IF(OR(AND(C509&lt;&gt;"""", LEN(C509)&lt;3), LEN(C509)&gt;60, AND(D509&lt;&gt;"""", NOT(ISNUMBER(D509))), AND(ISNUMBER(D509), OR(D509&lt;0.01, D509&gt;999999999)), AND(COUNTA(D509:F509, H509:N509)&gt;0, C509=""""),                  
  AND(COUNTA(C509, H509:N509)&gt;0, D509=""""), LEN("&amp;"H509)&gt;50, AND(I509&lt;&gt;"""", NOT(ISNUMBER(I509))), AND(ISNUMBER(I509), OR(I509&lt;0, I509&gt;99998)), AND(L509&lt;&gt;"""", NOT(REGEXMATCH(L509&amp;"""", ""^\d{8,14}$"")))), ""Erro"", """")"),"")</f>
      </c>
    </row>
    <row r="510" ht="15.75" customHeight="true">
      <c r="A510" s="33"/>
      <c r="B510" s="34" t="str">
        <f t="shared" si="1"/>
      </c>
      <c r="C510" s="35"/>
      <c r="D510" s="36"/>
      <c r="E510" s="37"/>
      <c r="F510" s="38"/>
      <c r="G510" s="39" t="str">
        <f t="shared" si="2"/>
      </c>
      <c r="H510" s="40"/>
      <c r="I510" s="41"/>
      <c r="J510" s="41"/>
      <c r="K510" s="41"/>
      <c r="L510" s="42"/>
      <c r="M510" s="43"/>
      <c r="N510" s="44"/>
      <c r="O510" s="45"/>
      <c r="P510" s="46" t="str">
        <f>IFERROR(__xludf.DUMMYFUNCTION("IF(OR(AND(C510&lt;&gt;"""", LEN(C510)&lt;3), LEN(C510)&gt;60, AND(D510&lt;&gt;"""", NOT(ISNUMBER(D510))), AND(ISNUMBER(D510), OR(D510&lt;0.01, D510&gt;999999999)), AND(COUNTA(D510:F510, H510:N510)&gt;0, C510=""""),                  
  AND(COUNTA(C510, H510:N510)&gt;0, D510=""""), LEN("&amp;"H510)&gt;50, AND(I510&lt;&gt;"""", NOT(ISNUMBER(I510))), AND(ISNUMBER(I510), OR(I510&lt;0, I510&gt;99998)), AND(L510&lt;&gt;"""", NOT(REGEXMATCH(L510&amp;"""", ""^\d{8,14}$"")))), ""Erro"", """")"),"")</f>
      </c>
    </row>
    <row r="511" ht="15.75" customHeight="true">
      <c r="A511" s="33"/>
      <c r="B511" s="34" t="str">
        <f t="shared" si="1"/>
      </c>
      <c r="C511" s="35"/>
      <c r="D511" s="36"/>
      <c r="E511" s="37"/>
      <c r="F511" s="38"/>
      <c r="G511" s="39" t="str">
        <f t="shared" si="2"/>
      </c>
      <c r="H511" s="40"/>
      <c r="I511" s="41"/>
      <c r="J511" s="41"/>
      <c r="K511" s="41"/>
      <c r="L511" s="42"/>
      <c r="M511" s="43"/>
      <c r="N511" s="44"/>
      <c r="O511" s="45"/>
      <c r="P511" s="46" t="str">
        <f>IFERROR(__xludf.DUMMYFUNCTION("IF(OR(AND(C511&lt;&gt;"""", LEN(C511)&lt;3), LEN(C511)&gt;60, AND(D511&lt;&gt;"""", NOT(ISNUMBER(D511))), AND(ISNUMBER(D511), OR(D511&lt;0.01, D511&gt;999999999)), AND(COUNTA(D511:F511, H511:N511)&gt;0, C511=""""),                  
  AND(COUNTA(C511, H511:N511)&gt;0, D511=""""), LEN("&amp;"H511)&gt;50, AND(I511&lt;&gt;"""", NOT(ISNUMBER(I511))), AND(ISNUMBER(I511), OR(I511&lt;0, I511&gt;99998)), AND(L511&lt;&gt;"""", NOT(REGEXMATCH(L511&amp;"""", ""^\d{8,14}$"")))), ""Erro"", """")"),"")</f>
      </c>
    </row>
    <row r="512" ht="15.75" customHeight="true">
      <c r="A512" s="33"/>
      <c r="B512" s="34" t="str">
        <f t="shared" si="1"/>
      </c>
      <c r="C512" s="35"/>
      <c r="D512" s="36"/>
      <c r="E512" s="37"/>
      <c r="F512" s="38"/>
      <c r="G512" s="39" t="str">
        <f t="shared" si="2"/>
      </c>
      <c r="H512" s="40"/>
      <c r="I512" s="41"/>
      <c r="J512" s="41"/>
      <c r="K512" s="41"/>
      <c r="L512" s="42"/>
      <c r="M512" s="43"/>
      <c r="N512" s="44"/>
      <c r="O512" s="45"/>
      <c r="P512" s="46" t="str">
        <f>IFERROR(__xludf.DUMMYFUNCTION("IF(OR(AND(C512&lt;&gt;"""", LEN(C512)&lt;3), LEN(C512)&gt;60, AND(D512&lt;&gt;"""", NOT(ISNUMBER(D512))), AND(ISNUMBER(D512), OR(D512&lt;0.01, D512&gt;999999999)), AND(COUNTA(D512:F512, H512:N512)&gt;0, C512=""""),                  
  AND(COUNTA(C512, H512:N512)&gt;0, D512=""""), LEN("&amp;"H512)&gt;50, AND(I512&lt;&gt;"""", NOT(ISNUMBER(I512))), AND(ISNUMBER(I512), OR(I512&lt;0, I512&gt;99998)), AND(L512&lt;&gt;"""", NOT(REGEXMATCH(L512&amp;"""", ""^\d{8,14}$"")))), ""Erro"", """")"),"")</f>
      </c>
    </row>
    <row r="513" ht="15.75" customHeight="true">
      <c r="A513" s="33"/>
      <c r="B513" s="34" t="str">
        <f t="shared" si="1"/>
      </c>
      <c r="C513" s="35"/>
      <c r="D513" s="36"/>
      <c r="E513" s="37"/>
      <c r="F513" s="38"/>
      <c r="G513" s="39" t="str">
        <f t="shared" si="2"/>
      </c>
      <c r="H513" s="40"/>
      <c r="I513" s="41"/>
      <c r="J513" s="41"/>
      <c r="K513" s="41"/>
      <c r="L513" s="42"/>
      <c r="M513" s="43"/>
      <c r="N513" s="44"/>
      <c r="O513" s="45"/>
      <c r="P513" s="46" t="str">
        <f>IFERROR(__xludf.DUMMYFUNCTION("IF(OR(AND(C513&lt;&gt;"""", LEN(C513)&lt;3), LEN(C513)&gt;60, AND(D513&lt;&gt;"""", NOT(ISNUMBER(D513))), AND(ISNUMBER(D513), OR(D513&lt;0.01, D513&gt;999999999)), AND(COUNTA(D513:F513, H513:N513)&gt;0, C513=""""),                  
  AND(COUNTA(C513, H513:N513)&gt;0, D513=""""), LEN("&amp;"H513)&gt;50, AND(I513&lt;&gt;"""", NOT(ISNUMBER(I513))), AND(ISNUMBER(I513), OR(I513&lt;0, I513&gt;99998)), AND(L513&lt;&gt;"""", NOT(REGEXMATCH(L513&amp;"""", ""^\d{8,14}$"")))), ""Erro"", """")"),"")</f>
      </c>
    </row>
    <row r="514" ht="15.75" customHeight="true">
      <c r="A514" s="33"/>
      <c r="B514" s="34" t="str">
        <f t="shared" si="1"/>
      </c>
      <c r="C514" s="35"/>
      <c r="D514" s="36"/>
      <c r="E514" s="37"/>
      <c r="F514" s="38"/>
      <c r="G514" s="39" t="str">
        <f t="shared" si="2"/>
      </c>
      <c r="H514" s="40"/>
      <c r="I514" s="41"/>
      <c r="J514" s="41"/>
      <c r="K514" s="41"/>
      <c r="L514" s="42"/>
      <c r="M514" s="43"/>
      <c r="N514" s="44"/>
      <c r="O514" s="45"/>
      <c r="P514" s="46" t="str">
        <f>IFERROR(__xludf.DUMMYFUNCTION("IF(OR(AND(C514&lt;&gt;"""", LEN(C514)&lt;3), LEN(C514)&gt;60, AND(D514&lt;&gt;"""", NOT(ISNUMBER(D514))), AND(ISNUMBER(D514), OR(D514&lt;0.01, D514&gt;999999999)), AND(COUNTA(D514:F514, H514:N514)&gt;0, C514=""""),                  
  AND(COUNTA(C514, H514:N514)&gt;0, D514=""""), LEN("&amp;"H514)&gt;50, AND(I514&lt;&gt;"""", NOT(ISNUMBER(I514))), AND(ISNUMBER(I514), OR(I514&lt;0, I514&gt;99998)), AND(L514&lt;&gt;"""", NOT(REGEXMATCH(L514&amp;"""", ""^\d{8,14}$"")))), ""Erro"", """")"),"")</f>
      </c>
    </row>
    <row r="515" ht="15.75" customHeight="true">
      <c r="A515" s="33"/>
      <c r="B515" s="34" t="str">
        <f t="shared" si="1"/>
      </c>
      <c r="C515" s="35"/>
      <c r="D515" s="36"/>
      <c r="E515" s="37"/>
      <c r="F515" s="38"/>
      <c r="G515" s="39" t="str">
        <f t="shared" si="2"/>
      </c>
      <c r="H515" s="40"/>
      <c r="I515" s="41"/>
      <c r="J515" s="41"/>
      <c r="K515" s="41"/>
      <c r="L515" s="42"/>
      <c r="M515" s="43"/>
      <c r="N515" s="44"/>
      <c r="O515" s="45"/>
      <c r="P515" s="46" t="str">
        <f>IFERROR(__xludf.DUMMYFUNCTION("IF(OR(AND(C515&lt;&gt;"""", LEN(C515)&lt;3), LEN(C515)&gt;60, AND(D515&lt;&gt;"""", NOT(ISNUMBER(D515))), AND(ISNUMBER(D515), OR(D515&lt;0.01, D515&gt;999999999)), AND(COUNTA(D515:F515, H515:N515)&gt;0, C515=""""),                  
  AND(COUNTA(C515, H515:N515)&gt;0, D515=""""), LEN("&amp;"H515)&gt;50, AND(I515&lt;&gt;"""", NOT(ISNUMBER(I515))), AND(ISNUMBER(I515), OR(I515&lt;0, I515&gt;99998)), AND(L515&lt;&gt;"""", NOT(REGEXMATCH(L515&amp;"""", ""^\d{8,14}$"")))), ""Erro"", """")"),"")</f>
      </c>
    </row>
    <row r="516" ht="15.75" customHeight="true">
      <c r="A516" s="33"/>
      <c r="B516" s="34" t="str">
        <f t="shared" si="1"/>
      </c>
      <c r="C516" s="35"/>
      <c r="D516" s="36"/>
      <c r="E516" s="37"/>
      <c r="F516" s="38"/>
      <c r="G516" s="39" t="str">
        <f t="shared" si="2"/>
      </c>
      <c r="H516" s="40"/>
      <c r="I516" s="41"/>
      <c r="J516" s="41"/>
      <c r="K516" s="41"/>
      <c r="L516" s="42"/>
      <c r="M516" s="43"/>
      <c r="N516" s="44"/>
      <c r="O516" s="45"/>
      <c r="P516" s="46" t="str">
        <f>IFERROR(__xludf.DUMMYFUNCTION("IF(OR(AND(C516&lt;&gt;"""", LEN(C516)&lt;3), LEN(C516)&gt;60, AND(D516&lt;&gt;"""", NOT(ISNUMBER(D516))), AND(ISNUMBER(D516), OR(D516&lt;0.01, D516&gt;999999999)), AND(COUNTA(D516:F516, H516:N516)&gt;0, C516=""""),                  
  AND(COUNTA(C516, H516:N516)&gt;0, D516=""""), LEN("&amp;"H516)&gt;50, AND(I516&lt;&gt;"""", NOT(ISNUMBER(I516))), AND(ISNUMBER(I516), OR(I516&lt;0, I516&gt;99998)), AND(L516&lt;&gt;"""", NOT(REGEXMATCH(L516&amp;"""", ""^\d{8,14}$"")))), ""Erro"", """")"),"")</f>
      </c>
    </row>
    <row r="517" ht="15.75" customHeight="true">
      <c r="A517" s="33"/>
      <c r="B517" s="34" t="str">
        <f t="shared" si="1"/>
      </c>
      <c r="C517" s="35"/>
      <c r="D517" s="36"/>
      <c r="E517" s="37"/>
      <c r="F517" s="38"/>
      <c r="G517" s="39" t="str">
        <f t="shared" si="2"/>
      </c>
      <c r="H517" s="40"/>
      <c r="I517" s="41"/>
      <c r="J517" s="41"/>
      <c r="K517" s="41"/>
      <c r="L517" s="42"/>
      <c r="M517" s="43"/>
      <c r="N517" s="44"/>
      <c r="O517" s="45"/>
      <c r="P517" s="46" t="str">
        <f>IFERROR(__xludf.DUMMYFUNCTION("IF(OR(AND(C517&lt;&gt;"""", LEN(C517)&lt;3), LEN(C517)&gt;60, AND(D517&lt;&gt;"""", NOT(ISNUMBER(D517))), AND(ISNUMBER(D517), OR(D517&lt;0.01, D517&gt;999999999)), AND(COUNTA(D517:F517, H517:N517)&gt;0, C517=""""),                  
  AND(COUNTA(C517, H517:N517)&gt;0, D517=""""), LEN("&amp;"H517)&gt;50, AND(I517&lt;&gt;"""", NOT(ISNUMBER(I517))), AND(ISNUMBER(I517), OR(I517&lt;0, I517&gt;99998)), AND(L517&lt;&gt;"""", NOT(REGEXMATCH(L517&amp;"""", ""^\d{8,14}$"")))), ""Erro"", """")"),"")</f>
      </c>
    </row>
    <row r="518" ht="15.75" customHeight="true">
      <c r="A518" s="33"/>
      <c r="B518" s="34" t="str">
        <f t="shared" si="1"/>
      </c>
      <c r="C518" s="35"/>
      <c r="D518" s="36"/>
      <c r="E518" s="37"/>
      <c r="F518" s="38"/>
      <c r="G518" s="39" t="str">
        <f t="shared" si="2"/>
      </c>
      <c r="H518" s="40"/>
      <c r="I518" s="41"/>
      <c r="J518" s="41"/>
      <c r="K518" s="41"/>
      <c r="L518" s="42"/>
      <c r="M518" s="43"/>
      <c r="N518" s="44"/>
      <c r="O518" s="45"/>
      <c r="P518" s="46" t="str">
        <f>IFERROR(__xludf.DUMMYFUNCTION("IF(OR(AND(C518&lt;&gt;"""", LEN(C518)&lt;3), LEN(C518)&gt;60, AND(D518&lt;&gt;"""", NOT(ISNUMBER(D518))), AND(ISNUMBER(D518), OR(D518&lt;0.01, D518&gt;999999999)), AND(COUNTA(D518:F518, H518:N518)&gt;0, C518=""""),                  
  AND(COUNTA(C518, H518:N518)&gt;0, D518=""""), LEN("&amp;"H518)&gt;50, AND(I518&lt;&gt;"""", NOT(ISNUMBER(I518))), AND(ISNUMBER(I518), OR(I518&lt;0, I518&gt;99998)), AND(L518&lt;&gt;"""", NOT(REGEXMATCH(L518&amp;"""", ""^\d{8,14}$"")))), ""Erro"", """")"),"")</f>
      </c>
    </row>
    <row r="519" ht="15.75" customHeight="true">
      <c r="A519" s="33"/>
      <c r="B519" s="34" t="str">
        <f t="shared" si="1"/>
      </c>
      <c r="C519" s="35"/>
      <c r="D519" s="36"/>
      <c r="E519" s="37"/>
      <c r="F519" s="38"/>
      <c r="G519" s="39" t="str">
        <f t="shared" si="2"/>
      </c>
      <c r="H519" s="40"/>
      <c r="I519" s="41"/>
      <c r="J519" s="41"/>
      <c r="K519" s="41"/>
      <c r="L519" s="42"/>
      <c r="M519" s="43"/>
      <c r="N519" s="44"/>
      <c r="O519" s="45"/>
      <c r="P519" s="46" t="str">
        <f>IFERROR(__xludf.DUMMYFUNCTION("IF(OR(AND(C519&lt;&gt;"""", LEN(C519)&lt;3), LEN(C519)&gt;60, AND(D519&lt;&gt;"""", NOT(ISNUMBER(D519))), AND(ISNUMBER(D519), OR(D519&lt;0.01, D519&gt;999999999)), AND(COUNTA(D519:F519, H519:N519)&gt;0, C519=""""),                  
  AND(COUNTA(C519, H519:N519)&gt;0, D519=""""), LEN("&amp;"H519)&gt;50, AND(I519&lt;&gt;"""", NOT(ISNUMBER(I519))), AND(ISNUMBER(I519), OR(I519&lt;0, I519&gt;99998)), AND(L519&lt;&gt;"""", NOT(REGEXMATCH(L519&amp;"""", ""^\d{8,14}$"")))), ""Erro"", """")"),"")</f>
      </c>
    </row>
    <row r="520" ht="15.75" customHeight="true">
      <c r="A520" s="33"/>
      <c r="B520" s="34" t="str">
        <f t="shared" si="1"/>
      </c>
      <c r="C520" s="35"/>
      <c r="D520" s="36"/>
      <c r="E520" s="37"/>
      <c r="F520" s="38"/>
      <c r="G520" s="39" t="str">
        <f t="shared" si="2"/>
      </c>
      <c r="H520" s="40"/>
      <c r="I520" s="41"/>
      <c r="J520" s="41"/>
      <c r="K520" s="41"/>
      <c r="L520" s="42"/>
      <c r="M520" s="43"/>
      <c r="N520" s="44"/>
      <c r="O520" s="45"/>
      <c r="P520" s="46" t="str">
        <f>IFERROR(__xludf.DUMMYFUNCTION("IF(OR(AND(C520&lt;&gt;"""", LEN(C520)&lt;3), LEN(C520)&gt;60, AND(D520&lt;&gt;"""", NOT(ISNUMBER(D520))), AND(ISNUMBER(D520), OR(D520&lt;0.01, D520&gt;999999999)), AND(COUNTA(D520:F520, H520:N520)&gt;0, C520=""""),                  
  AND(COUNTA(C520, H520:N520)&gt;0, D520=""""), LEN("&amp;"H520)&gt;50, AND(I520&lt;&gt;"""", NOT(ISNUMBER(I520))), AND(ISNUMBER(I520), OR(I520&lt;0, I520&gt;99998)), AND(L520&lt;&gt;"""", NOT(REGEXMATCH(L520&amp;"""", ""^\d{8,14}$"")))), ""Erro"", """")"),"")</f>
      </c>
    </row>
    <row r="521" ht="15.75" customHeight="true">
      <c r="A521" s="33"/>
      <c r="B521" s="34" t="str">
        <f t="shared" si="1"/>
      </c>
      <c r="C521" s="35"/>
      <c r="D521" s="36"/>
      <c r="E521" s="37"/>
      <c r="F521" s="38"/>
      <c r="G521" s="39" t="str">
        <f t="shared" si="2"/>
      </c>
      <c r="H521" s="40"/>
      <c r="I521" s="41"/>
      <c r="J521" s="41"/>
      <c r="K521" s="41"/>
      <c r="L521" s="42"/>
      <c r="M521" s="43"/>
      <c r="N521" s="44"/>
      <c r="O521" s="45"/>
      <c r="P521" s="46" t="str">
        <f>IFERROR(__xludf.DUMMYFUNCTION("IF(OR(AND(C521&lt;&gt;"""", LEN(C521)&lt;3), LEN(C521)&gt;60, AND(D521&lt;&gt;"""", NOT(ISNUMBER(D521))), AND(ISNUMBER(D521), OR(D521&lt;0.01, D521&gt;999999999)), AND(COUNTA(D521:F521, H521:N521)&gt;0, C521=""""),                  
  AND(COUNTA(C521, H521:N521)&gt;0, D521=""""), LEN("&amp;"H521)&gt;50, AND(I521&lt;&gt;"""", NOT(ISNUMBER(I521))), AND(ISNUMBER(I521), OR(I521&lt;0, I521&gt;99998)), AND(L521&lt;&gt;"""", NOT(REGEXMATCH(L521&amp;"""", ""^\d{8,14}$"")))), ""Erro"", """")"),"")</f>
      </c>
    </row>
    <row r="522" ht="15.75" customHeight="true">
      <c r="A522" s="33"/>
      <c r="B522" s="34" t="str">
        <f t="shared" si="1"/>
      </c>
      <c r="C522" s="35"/>
      <c r="D522" s="36"/>
      <c r="E522" s="37"/>
      <c r="F522" s="38"/>
      <c r="G522" s="39" t="str">
        <f t="shared" si="2"/>
      </c>
      <c r="H522" s="40"/>
      <c r="I522" s="41"/>
      <c r="J522" s="41"/>
      <c r="K522" s="41"/>
      <c r="L522" s="42"/>
      <c r="M522" s="43"/>
      <c r="N522" s="44"/>
      <c r="O522" s="45"/>
      <c r="P522" s="46" t="str">
        <f>IFERROR(__xludf.DUMMYFUNCTION("IF(OR(AND(C522&lt;&gt;"""", LEN(C522)&lt;3), LEN(C522)&gt;60, AND(D522&lt;&gt;"""", NOT(ISNUMBER(D522))), AND(ISNUMBER(D522), OR(D522&lt;0.01, D522&gt;999999999)), AND(COUNTA(D522:F522, H522:N522)&gt;0, C522=""""),                  
  AND(COUNTA(C522, H522:N522)&gt;0, D522=""""), LEN("&amp;"H522)&gt;50, AND(I522&lt;&gt;"""", NOT(ISNUMBER(I522))), AND(ISNUMBER(I522), OR(I522&lt;0, I522&gt;99998)), AND(L522&lt;&gt;"""", NOT(REGEXMATCH(L522&amp;"""", ""^\d{8,14}$"")))), ""Erro"", """")"),"")</f>
      </c>
    </row>
    <row r="523" ht="15.75" customHeight="true">
      <c r="A523" s="33"/>
      <c r="B523" s="34" t="str">
        <f t="shared" si="1"/>
      </c>
      <c r="C523" s="35"/>
      <c r="D523" s="36"/>
      <c r="E523" s="37"/>
      <c r="F523" s="38"/>
      <c r="G523" s="39" t="str">
        <f t="shared" si="2"/>
      </c>
      <c r="H523" s="40"/>
      <c r="I523" s="41"/>
      <c r="J523" s="41"/>
      <c r="K523" s="41"/>
      <c r="L523" s="42"/>
      <c r="M523" s="43"/>
      <c r="N523" s="44"/>
      <c r="O523" s="45"/>
      <c r="P523" s="46" t="str">
        <f>IFERROR(__xludf.DUMMYFUNCTION("IF(OR(AND(C523&lt;&gt;"""", LEN(C523)&lt;3), LEN(C523)&gt;60, AND(D523&lt;&gt;"""", NOT(ISNUMBER(D523))), AND(ISNUMBER(D523), OR(D523&lt;0.01, D523&gt;999999999)), AND(COUNTA(D523:F523, H523:N523)&gt;0, C523=""""),                  
  AND(COUNTA(C523, H523:N523)&gt;0, D523=""""), LEN("&amp;"H523)&gt;50, AND(I523&lt;&gt;"""", NOT(ISNUMBER(I523))), AND(ISNUMBER(I523), OR(I523&lt;0, I523&gt;99998)), AND(L523&lt;&gt;"""", NOT(REGEXMATCH(L523&amp;"""", ""^\d{8,14}$"")))), ""Erro"", """")"),"")</f>
      </c>
    </row>
    <row r="524" ht="15.75" customHeight="true">
      <c r="A524" s="33"/>
      <c r="B524" s="34" t="str">
        <f t="shared" si="1"/>
      </c>
      <c r="C524" s="35"/>
      <c r="D524" s="36"/>
      <c r="E524" s="37"/>
      <c r="F524" s="38"/>
      <c r="G524" s="39" t="str">
        <f t="shared" si="2"/>
      </c>
      <c r="H524" s="40"/>
      <c r="I524" s="41"/>
      <c r="J524" s="41"/>
      <c r="K524" s="41"/>
      <c r="L524" s="42"/>
      <c r="M524" s="43"/>
      <c r="N524" s="44"/>
      <c r="O524" s="45"/>
      <c r="P524" s="46" t="str">
        <f>IFERROR(__xludf.DUMMYFUNCTION("IF(OR(AND(C524&lt;&gt;"""", LEN(C524)&lt;3), LEN(C524)&gt;60, AND(D524&lt;&gt;"""", NOT(ISNUMBER(D524))), AND(ISNUMBER(D524), OR(D524&lt;0.01, D524&gt;999999999)), AND(COUNTA(D524:F524, H524:N524)&gt;0, C524=""""),                  
  AND(COUNTA(C524, H524:N524)&gt;0, D524=""""), LEN("&amp;"H524)&gt;50, AND(I524&lt;&gt;"""", NOT(ISNUMBER(I524))), AND(ISNUMBER(I524), OR(I524&lt;0, I524&gt;99998)), AND(L524&lt;&gt;"""", NOT(REGEXMATCH(L524&amp;"""", ""^\d{8,14}$"")))), ""Erro"", """")"),"")</f>
      </c>
    </row>
    <row r="525" ht="15.75" customHeight="true">
      <c r="A525" s="33"/>
      <c r="B525" s="34" t="str">
        <f t="shared" si="1"/>
      </c>
      <c r="C525" s="35"/>
      <c r="D525" s="36"/>
      <c r="E525" s="37"/>
      <c r="F525" s="38"/>
      <c r="G525" s="39" t="str">
        <f t="shared" si="2"/>
      </c>
      <c r="H525" s="40"/>
      <c r="I525" s="41"/>
      <c r="J525" s="41"/>
      <c r="K525" s="41"/>
      <c r="L525" s="42"/>
      <c r="M525" s="43"/>
      <c r="N525" s="44"/>
      <c r="O525" s="45"/>
      <c r="P525" s="46" t="str">
        <f>IFERROR(__xludf.DUMMYFUNCTION("IF(OR(AND(C525&lt;&gt;"""", LEN(C525)&lt;3), LEN(C525)&gt;60, AND(D525&lt;&gt;"""", NOT(ISNUMBER(D525))), AND(ISNUMBER(D525), OR(D525&lt;0.01, D525&gt;999999999)), AND(COUNTA(D525:F525, H525:N525)&gt;0, C525=""""),                  
  AND(COUNTA(C525, H525:N525)&gt;0, D525=""""), LEN("&amp;"H525)&gt;50, AND(I525&lt;&gt;"""", NOT(ISNUMBER(I525))), AND(ISNUMBER(I525), OR(I525&lt;0, I525&gt;99998)), AND(L525&lt;&gt;"""", NOT(REGEXMATCH(L525&amp;"""", ""^\d{8,14}$"")))), ""Erro"", """")"),"")</f>
      </c>
    </row>
    <row r="526" ht="15.75" customHeight="true">
      <c r="A526" s="33"/>
      <c r="B526" s="34" t="str">
        <f t="shared" si="1"/>
      </c>
      <c r="C526" s="35"/>
      <c r="D526" s="36"/>
      <c r="E526" s="37"/>
      <c r="F526" s="38"/>
      <c r="G526" s="39" t="str">
        <f t="shared" si="2"/>
      </c>
      <c r="H526" s="40"/>
      <c r="I526" s="41"/>
      <c r="J526" s="41"/>
      <c r="K526" s="41"/>
      <c r="L526" s="42"/>
      <c r="M526" s="43"/>
      <c r="N526" s="44"/>
      <c r="O526" s="45"/>
      <c r="P526" s="46" t="str">
        <f>IFERROR(__xludf.DUMMYFUNCTION("IF(OR(AND(C526&lt;&gt;"""", LEN(C526)&lt;3), LEN(C526)&gt;60, AND(D526&lt;&gt;"""", NOT(ISNUMBER(D526))), AND(ISNUMBER(D526), OR(D526&lt;0.01, D526&gt;999999999)), AND(COUNTA(D526:F526, H526:N526)&gt;0, C526=""""),                  
  AND(COUNTA(C526, H526:N526)&gt;0, D526=""""), LEN("&amp;"H526)&gt;50, AND(I526&lt;&gt;"""", NOT(ISNUMBER(I526))), AND(ISNUMBER(I526), OR(I526&lt;0, I526&gt;99998)), AND(L526&lt;&gt;"""", NOT(REGEXMATCH(L526&amp;"""", ""^\d{8,14}$"")))), ""Erro"", """")"),"")</f>
      </c>
    </row>
    <row r="527" ht="15.75" customHeight="true">
      <c r="A527" s="33"/>
      <c r="B527" s="34" t="str">
        <f t="shared" si="1"/>
      </c>
      <c r="C527" s="35"/>
      <c r="D527" s="36"/>
      <c r="E527" s="37"/>
      <c r="F527" s="38"/>
      <c r="G527" s="39" t="str">
        <f t="shared" si="2"/>
      </c>
      <c r="H527" s="40"/>
      <c r="I527" s="41"/>
      <c r="J527" s="41"/>
      <c r="K527" s="41"/>
      <c r="L527" s="42"/>
      <c r="M527" s="43"/>
      <c r="N527" s="44"/>
      <c r="O527" s="45"/>
      <c r="P527" s="46" t="str">
        <f>IFERROR(__xludf.DUMMYFUNCTION("IF(OR(AND(C527&lt;&gt;"""", LEN(C527)&lt;3), LEN(C527)&gt;60, AND(D527&lt;&gt;"""", NOT(ISNUMBER(D527))), AND(ISNUMBER(D527), OR(D527&lt;0.01, D527&gt;999999999)), AND(COUNTA(D527:F527, H527:N527)&gt;0, C527=""""),                  
  AND(COUNTA(C527, H527:N527)&gt;0, D527=""""), LEN("&amp;"H527)&gt;50, AND(I527&lt;&gt;"""", NOT(ISNUMBER(I527))), AND(ISNUMBER(I527), OR(I527&lt;0, I527&gt;99998)), AND(L527&lt;&gt;"""", NOT(REGEXMATCH(L527&amp;"""", ""^\d{8,14}$"")))), ""Erro"", """")"),"")</f>
      </c>
    </row>
    <row r="528" ht="15.75" customHeight="true">
      <c r="A528" s="33"/>
      <c r="B528" s="34" t="str">
        <f t="shared" si="1"/>
      </c>
      <c r="C528" s="35"/>
      <c r="D528" s="36"/>
      <c r="E528" s="37"/>
      <c r="F528" s="38"/>
      <c r="G528" s="39" t="str">
        <f t="shared" si="2"/>
      </c>
      <c r="H528" s="40"/>
      <c r="I528" s="41"/>
      <c r="J528" s="41"/>
      <c r="K528" s="41"/>
      <c r="L528" s="42"/>
      <c r="M528" s="43"/>
      <c r="N528" s="44"/>
      <c r="O528" s="45"/>
      <c r="P528" s="46" t="str">
        <f>IFERROR(__xludf.DUMMYFUNCTION("IF(OR(AND(C528&lt;&gt;"""", LEN(C528)&lt;3), LEN(C528)&gt;60, AND(D528&lt;&gt;"""", NOT(ISNUMBER(D528))), AND(ISNUMBER(D528), OR(D528&lt;0.01, D528&gt;999999999)), AND(COUNTA(D528:F528, H528:N528)&gt;0, C528=""""),                  
  AND(COUNTA(C528, H528:N528)&gt;0, D528=""""), LEN("&amp;"H528)&gt;50, AND(I528&lt;&gt;"""", NOT(ISNUMBER(I528))), AND(ISNUMBER(I528), OR(I528&lt;0, I528&gt;99998)), AND(L528&lt;&gt;"""", NOT(REGEXMATCH(L528&amp;"""", ""^\d{8,14}$"")))), ""Erro"", """")"),"")</f>
      </c>
    </row>
    <row r="529" ht="15.75" customHeight="true">
      <c r="A529" s="33"/>
      <c r="B529" s="34" t="str">
        <f t="shared" si="1"/>
      </c>
      <c r="C529" s="35"/>
      <c r="D529" s="36"/>
      <c r="E529" s="37"/>
      <c r="F529" s="38"/>
      <c r="G529" s="39" t="str">
        <f t="shared" si="2"/>
      </c>
      <c r="H529" s="40"/>
      <c r="I529" s="41"/>
      <c r="J529" s="41"/>
      <c r="K529" s="41"/>
      <c r="L529" s="42"/>
      <c r="M529" s="43"/>
      <c r="N529" s="44"/>
      <c r="O529" s="45"/>
      <c r="P529" s="46" t="str">
        <f>IFERROR(__xludf.DUMMYFUNCTION("IF(OR(AND(C529&lt;&gt;"""", LEN(C529)&lt;3), LEN(C529)&gt;60, AND(D529&lt;&gt;"""", NOT(ISNUMBER(D529))), AND(ISNUMBER(D529), OR(D529&lt;0.01, D529&gt;999999999)), AND(COUNTA(D529:F529, H529:N529)&gt;0, C529=""""),                  
  AND(COUNTA(C529, H529:N529)&gt;0, D529=""""), LEN("&amp;"H529)&gt;50, AND(I529&lt;&gt;"""", NOT(ISNUMBER(I529))), AND(ISNUMBER(I529), OR(I529&lt;0, I529&gt;99998)), AND(L529&lt;&gt;"""", NOT(REGEXMATCH(L529&amp;"""", ""^\d{8,14}$"")))), ""Erro"", """")"),"")</f>
      </c>
    </row>
    <row r="530" ht="15.75" customHeight="true">
      <c r="A530" s="33"/>
      <c r="B530" s="34" t="str">
        <f t="shared" si="1"/>
      </c>
      <c r="C530" s="35"/>
      <c r="D530" s="36"/>
      <c r="E530" s="37"/>
      <c r="F530" s="38"/>
      <c r="G530" s="39" t="str">
        <f t="shared" si="2"/>
      </c>
      <c r="H530" s="40"/>
      <c r="I530" s="41"/>
      <c r="J530" s="41"/>
      <c r="K530" s="41"/>
      <c r="L530" s="42"/>
      <c r="M530" s="43"/>
      <c r="N530" s="44"/>
      <c r="O530" s="45"/>
      <c r="P530" s="46" t="str">
        <f>IFERROR(__xludf.DUMMYFUNCTION("IF(OR(AND(C530&lt;&gt;"""", LEN(C530)&lt;3), LEN(C530)&gt;60, AND(D530&lt;&gt;"""", NOT(ISNUMBER(D530))), AND(ISNUMBER(D530), OR(D530&lt;0.01, D530&gt;999999999)), AND(COUNTA(D530:F530, H530:N530)&gt;0, C530=""""),                  
  AND(COUNTA(C530, H530:N530)&gt;0, D530=""""), LEN("&amp;"H530)&gt;50, AND(I530&lt;&gt;"""", NOT(ISNUMBER(I530))), AND(ISNUMBER(I530), OR(I530&lt;0, I530&gt;99998)), AND(L530&lt;&gt;"""", NOT(REGEXMATCH(L530&amp;"""", ""^\d{8,14}$"")))), ""Erro"", """")"),"")</f>
      </c>
    </row>
    <row r="531" ht="15.75" customHeight="true">
      <c r="A531" s="33"/>
      <c r="B531" s="34" t="str">
        <f t="shared" si="1"/>
      </c>
      <c r="C531" s="35"/>
      <c r="D531" s="36"/>
      <c r="E531" s="37"/>
      <c r="F531" s="38"/>
      <c r="G531" s="39" t="str">
        <f t="shared" si="2"/>
      </c>
      <c r="H531" s="40"/>
      <c r="I531" s="41"/>
      <c r="J531" s="41"/>
      <c r="K531" s="41"/>
      <c r="L531" s="42"/>
      <c r="M531" s="43"/>
      <c r="N531" s="44"/>
      <c r="O531" s="45"/>
      <c r="P531" s="46" t="str">
        <f>IFERROR(__xludf.DUMMYFUNCTION("IF(OR(AND(C531&lt;&gt;"""", LEN(C531)&lt;3), LEN(C531)&gt;60, AND(D531&lt;&gt;"""", NOT(ISNUMBER(D531))), AND(ISNUMBER(D531), OR(D531&lt;0.01, D531&gt;999999999)), AND(COUNTA(D531:F531, H531:N531)&gt;0, C531=""""),                  
  AND(COUNTA(C531, H531:N531)&gt;0, D531=""""), LEN("&amp;"H531)&gt;50, AND(I531&lt;&gt;"""", NOT(ISNUMBER(I531))), AND(ISNUMBER(I531), OR(I531&lt;0, I531&gt;99998)), AND(L531&lt;&gt;"""", NOT(REGEXMATCH(L531&amp;"""", ""^\d{8,14}$"")))), ""Erro"", """")"),"")</f>
      </c>
    </row>
    <row r="532" ht="15.75" customHeight="true">
      <c r="A532" s="33"/>
      <c r="B532" s="34" t="str">
        <f t="shared" si="1"/>
      </c>
      <c r="C532" s="35"/>
      <c r="D532" s="36"/>
      <c r="E532" s="37"/>
      <c r="F532" s="38"/>
      <c r="G532" s="39" t="str">
        <f t="shared" si="2"/>
      </c>
      <c r="H532" s="40"/>
      <c r="I532" s="41"/>
      <c r="J532" s="41"/>
      <c r="K532" s="41"/>
      <c r="L532" s="42"/>
      <c r="M532" s="43"/>
      <c r="N532" s="44"/>
      <c r="O532" s="45"/>
      <c r="P532" s="46" t="str">
        <f>IFERROR(__xludf.DUMMYFUNCTION("IF(OR(AND(C532&lt;&gt;"""", LEN(C532)&lt;3), LEN(C532)&gt;60, AND(D532&lt;&gt;"""", NOT(ISNUMBER(D532))), AND(ISNUMBER(D532), OR(D532&lt;0.01, D532&gt;999999999)), AND(COUNTA(D532:F532, H532:N532)&gt;0, C532=""""),                  
  AND(COUNTA(C532, H532:N532)&gt;0, D532=""""), LEN("&amp;"H532)&gt;50, AND(I532&lt;&gt;"""", NOT(ISNUMBER(I532))), AND(ISNUMBER(I532), OR(I532&lt;0, I532&gt;99998)), AND(L532&lt;&gt;"""", NOT(REGEXMATCH(L532&amp;"""", ""^\d{8,14}$"")))), ""Erro"", """")"),"")</f>
      </c>
    </row>
    <row r="533" ht="15.75" customHeight="true">
      <c r="A533" s="33"/>
      <c r="B533" s="34" t="str">
        <f t="shared" si="1"/>
      </c>
      <c r="C533" s="35"/>
      <c r="D533" s="36"/>
      <c r="E533" s="37"/>
      <c r="F533" s="38"/>
      <c r="G533" s="39" t="str">
        <f t="shared" si="2"/>
      </c>
      <c r="H533" s="40"/>
      <c r="I533" s="41"/>
      <c r="J533" s="41"/>
      <c r="K533" s="41"/>
      <c r="L533" s="42"/>
      <c r="M533" s="43"/>
      <c r="N533" s="44"/>
      <c r="O533" s="45"/>
      <c r="P533" s="46" t="str">
        <f>IFERROR(__xludf.DUMMYFUNCTION("IF(OR(AND(C533&lt;&gt;"""", LEN(C533)&lt;3), LEN(C533)&gt;60, AND(D533&lt;&gt;"""", NOT(ISNUMBER(D533))), AND(ISNUMBER(D533), OR(D533&lt;0.01, D533&gt;999999999)), AND(COUNTA(D533:F533, H533:N533)&gt;0, C533=""""),                  
  AND(COUNTA(C533, H533:N533)&gt;0, D533=""""), LEN("&amp;"H533)&gt;50, AND(I533&lt;&gt;"""", NOT(ISNUMBER(I533))), AND(ISNUMBER(I533), OR(I533&lt;0, I533&gt;99998)), AND(L533&lt;&gt;"""", NOT(REGEXMATCH(L533&amp;"""", ""^\d{8,14}$"")))), ""Erro"", """")"),"")</f>
      </c>
    </row>
    <row r="534" ht="15.75" customHeight="true">
      <c r="A534" s="33"/>
      <c r="B534" s="34" t="str">
        <f t="shared" si="1"/>
      </c>
      <c r="C534" s="35"/>
      <c r="D534" s="36"/>
      <c r="E534" s="37"/>
      <c r="F534" s="38"/>
      <c r="G534" s="39" t="str">
        <f t="shared" si="2"/>
      </c>
      <c r="H534" s="40"/>
      <c r="I534" s="41"/>
      <c r="J534" s="41"/>
      <c r="K534" s="41"/>
      <c r="L534" s="42"/>
      <c r="M534" s="43"/>
      <c r="N534" s="44"/>
      <c r="O534" s="45"/>
      <c r="P534" s="46" t="str">
        <f>IFERROR(__xludf.DUMMYFUNCTION("IF(OR(AND(C534&lt;&gt;"""", LEN(C534)&lt;3), LEN(C534)&gt;60, AND(D534&lt;&gt;"""", NOT(ISNUMBER(D534))), AND(ISNUMBER(D534), OR(D534&lt;0.01, D534&gt;999999999)), AND(COUNTA(D534:F534, H534:N534)&gt;0, C534=""""),                  
  AND(COUNTA(C534, H534:N534)&gt;0, D534=""""), LEN("&amp;"H534)&gt;50, AND(I534&lt;&gt;"""", NOT(ISNUMBER(I534))), AND(ISNUMBER(I534), OR(I534&lt;0, I534&gt;99998)), AND(L534&lt;&gt;"""", NOT(REGEXMATCH(L534&amp;"""", ""^\d{8,14}$"")))), ""Erro"", """")"),"")</f>
      </c>
    </row>
    <row r="535" ht="15.75" customHeight="true">
      <c r="A535" s="33"/>
      <c r="B535" s="34" t="str">
        <f t="shared" si="1"/>
      </c>
      <c r="C535" s="35"/>
      <c r="D535" s="36"/>
      <c r="E535" s="37"/>
      <c r="F535" s="38"/>
      <c r="G535" s="39" t="str">
        <f t="shared" si="2"/>
      </c>
      <c r="H535" s="40"/>
      <c r="I535" s="41"/>
      <c r="J535" s="41"/>
      <c r="K535" s="41"/>
      <c r="L535" s="42"/>
      <c r="M535" s="43"/>
      <c r="N535" s="44"/>
      <c r="O535" s="45"/>
      <c r="P535" s="46" t="str">
        <f>IFERROR(__xludf.DUMMYFUNCTION("IF(OR(AND(C535&lt;&gt;"""", LEN(C535)&lt;3), LEN(C535)&gt;60, AND(D535&lt;&gt;"""", NOT(ISNUMBER(D535))), AND(ISNUMBER(D535), OR(D535&lt;0.01, D535&gt;999999999)), AND(COUNTA(D535:F535, H535:N535)&gt;0, C535=""""),                  
  AND(COUNTA(C535, H535:N535)&gt;0, D535=""""), LEN("&amp;"H535)&gt;50, AND(I535&lt;&gt;"""", NOT(ISNUMBER(I535))), AND(ISNUMBER(I535), OR(I535&lt;0, I535&gt;99998)), AND(L535&lt;&gt;"""", NOT(REGEXMATCH(L535&amp;"""", ""^\d{8,14}$"")))), ""Erro"", """")"),"")</f>
      </c>
    </row>
    <row r="536" ht="15.75" customHeight="true">
      <c r="A536" s="33"/>
      <c r="B536" s="34" t="str">
        <f t="shared" si="1"/>
      </c>
      <c r="C536" s="35"/>
      <c r="D536" s="36"/>
      <c r="E536" s="37"/>
      <c r="F536" s="38"/>
      <c r="G536" s="39" t="str">
        <f t="shared" si="2"/>
      </c>
      <c r="H536" s="40"/>
      <c r="I536" s="41"/>
      <c r="J536" s="41"/>
      <c r="K536" s="41"/>
      <c r="L536" s="42"/>
      <c r="M536" s="43"/>
      <c r="N536" s="44"/>
      <c r="O536" s="45"/>
      <c r="P536" s="46" t="str">
        <f>IFERROR(__xludf.DUMMYFUNCTION("IF(OR(AND(C536&lt;&gt;"""", LEN(C536)&lt;3), LEN(C536)&gt;60, AND(D536&lt;&gt;"""", NOT(ISNUMBER(D536))), AND(ISNUMBER(D536), OR(D536&lt;0.01, D536&gt;999999999)), AND(COUNTA(D536:F536, H536:N536)&gt;0, C536=""""),                  
  AND(COUNTA(C536, H536:N536)&gt;0, D536=""""), LEN("&amp;"H536)&gt;50, AND(I536&lt;&gt;"""", NOT(ISNUMBER(I536))), AND(ISNUMBER(I536), OR(I536&lt;0, I536&gt;99998)), AND(L536&lt;&gt;"""", NOT(REGEXMATCH(L536&amp;"""", ""^\d{8,14}$"")))), ""Erro"", """")"),"")</f>
      </c>
    </row>
    <row r="537" ht="15.75" customHeight="true">
      <c r="A537" s="33"/>
      <c r="B537" s="34" t="str">
        <f t="shared" si="1"/>
      </c>
      <c r="C537" s="35"/>
      <c r="D537" s="36"/>
      <c r="E537" s="37"/>
      <c r="F537" s="38"/>
      <c r="G537" s="39" t="str">
        <f t="shared" si="2"/>
      </c>
      <c r="H537" s="40"/>
      <c r="I537" s="41"/>
      <c r="J537" s="41"/>
      <c r="K537" s="41"/>
      <c r="L537" s="42"/>
      <c r="M537" s="43"/>
      <c r="N537" s="44"/>
      <c r="O537" s="45"/>
      <c r="P537" s="46" t="str">
        <f>IFERROR(__xludf.DUMMYFUNCTION("IF(OR(AND(C537&lt;&gt;"""", LEN(C537)&lt;3), LEN(C537)&gt;60, AND(D537&lt;&gt;"""", NOT(ISNUMBER(D537))), AND(ISNUMBER(D537), OR(D537&lt;0.01, D537&gt;999999999)), AND(COUNTA(D537:F537, H537:N537)&gt;0, C537=""""),                  
  AND(COUNTA(C537, H537:N537)&gt;0, D537=""""), LEN("&amp;"H537)&gt;50, AND(I537&lt;&gt;"""", NOT(ISNUMBER(I537))), AND(ISNUMBER(I537), OR(I537&lt;0, I537&gt;99998)), AND(L537&lt;&gt;"""", NOT(REGEXMATCH(L537&amp;"""", ""^\d{8,14}$"")))), ""Erro"", """")"),"")</f>
      </c>
    </row>
    <row r="538" ht="15.75" customHeight="true">
      <c r="A538" s="33"/>
      <c r="B538" s="34" t="str">
        <f t="shared" si="1"/>
      </c>
      <c r="C538" s="35"/>
      <c r="D538" s="36"/>
      <c r="E538" s="37"/>
      <c r="F538" s="38"/>
      <c r="G538" s="39" t="str">
        <f t="shared" si="2"/>
      </c>
      <c r="H538" s="40"/>
      <c r="I538" s="41"/>
      <c r="J538" s="41"/>
      <c r="K538" s="41"/>
      <c r="L538" s="42"/>
      <c r="M538" s="43"/>
      <c r="N538" s="44"/>
      <c r="O538" s="45"/>
      <c r="P538" s="46" t="str">
        <f>IFERROR(__xludf.DUMMYFUNCTION("IF(OR(AND(C538&lt;&gt;"""", LEN(C538)&lt;3), LEN(C538)&gt;60, AND(D538&lt;&gt;"""", NOT(ISNUMBER(D538))), AND(ISNUMBER(D538), OR(D538&lt;0.01, D538&gt;999999999)), AND(COUNTA(D538:F538, H538:N538)&gt;0, C538=""""),                  
  AND(COUNTA(C538, H538:N538)&gt;0, D538=""""), LEN("&amp;"H538)&gt;50, AND(I538&lt;&gt;"""", NOT(ISNUMBER(I538))), AND(ISNUMBER(I538), OR(I538&lt;0, I538&gt;99998)), AND(L538&lt;&gt;"""", NOT(REGEXMATCH(L538&amp;"""", ""^\d{8,14}$"")))), ""Erro"", """")"),"")</f>
      </c>
    </row>
    <row r="539" ht="15.75" customHeight="true">
      <c r="A539" s="33"/>
      <c r="B539" s="34" t="str">
        <f t="shared" si="1"/>
      </c>
      <c r="C539" s="35"/>
      <c r="D539" s="36"/>
      <c r="E539" s="37"/>
      <c r="F539" s="38"/>
      <c r="G539" s="39" t="str">
        <f t="shared" si="2"/>
      </c>
      <c r="H539" s="40"/>
      <c r="I539" s="41"/>
      <c r="J539" s="41"/>
      <c r="K539" s="41"/>
      <c r="L539" s="42"/>
      <c r="M539" s="43"/>
      <c r="N539" s="44"/>
      <c r="O539" s="45"/>
      <c r="P539" s="46" t="str">
        <f>IFERROR(__xludf.DUMMYFUNCTION("IF(OR(AND(C539&lt;&gt;"""", LEN(C539)&lt;3), LEN(C539)&gt;60, AND(D539&lt;&gt;"""", NOT(ISNUMBER(D539))), AND(ISNUMBER(D539), OR(D539&lt;0.01, D539&gt;999999999)), AND(COUNTA(D539:F539, H539:N539)&gt;0, C539=""""),                  
  AND(COUNTA(C539, H539:N539)&gt;0, D539=""""), LEN("&amp;"H539)&gt;50, AND(I539&lt;&gt;"""", NOT(ISNUMBER(I539))), AND(ISNUMBER(I539), OR(I539&lt;0, I539&gt;99998)), AND(L539&lt;&gt;"""", NOT(REGEXMATCH(L539&amp;"""", ""^\d{8,14}$"")))), ""Erro"", """")"),"")</f>
      </c>
    </row>
    <row r="540" ht="15.75" customHeight="true">
      <c r="A540" s="33"/>
      <c r="B540" s="34" t="str">
        <f t="shared" si="1"/>
      </c>
      <c r="C540" s="35"/>
      <c r="D540" s="36"/>
      <c r="E540" s="37"/>
      <c r="F540" s="38"/>
      <c r="G540" s="39" t="str">
        <f t="shared" si="2"/>
      </c>
      <c r="H540" s="40"/>
      <c r="I540" s="41"/>
      <c r="J540" s="41"/>
      <c r="K540" s="41"/>
      <c r="L540" s="42"/>
      <c r="M540" s="43"/>
      <c r="N540" s="44"/>
      <c r="O540" s="45"/>
      <c r="P540" s="46" t="str">
        <f>IFERROR(__xludf.DUMMYFUNCTION("IF(OR(AND(C540&lt;&gt;"""", LEN(C540)&lt;3), LEN(C540)&gt;60, AND(D540&lt;&gt;"""", NOT(ISNUMBER(D540))), AND(ISNUMBER(D540), OR(D540&lt;0.01, D540&gt;999999999)), AND(COUNTA(D540:F540, H540:N540)&gt;0, C540=""""),                  
  AND(COUNTA(C540, H540:N540)&gt;0, D540=""""), LEN("&amp;"H540)&gt;50, AND(I540&lt;&gt;"""", NOT(ISNUMBER(I540))), AND(ISNUMBER(I540), OR(I540&lt;0, I540&gt;99998)), AND(L540&lt;&gt;"""", NOT(REGEXMATCH(L540&amp;"""", ""^\d{8,14}$"")))), ""Erro"", """")"),"")</f>
      </c>
    </row>
    <row r="541" ht="15.75" customHeight="true">
      <c r="A541" s="33"/>
      <c r="B541" s="34" t="str">
        <f t="shared" si="1"/>
      </c>
      <c r="C541" s="35"/>
      <c r="D541" s="36"/>
      <c r="E541" s="37"/>
      <c r="F541" s="38"/>
      <c r="G541" s="39" t="str">
        <f t="shared" si="2"/>
      </c>
      <c r="H541" s="40"/>
      <c r="I541" s="41"/>
      <c r="J541" s="41"/>
      <c r="K541" s="41"/>
      <c r="L541" s="42"/>
      <c r="M541" s="43"/>
      <c r="N541" s="44"/>
      <c r="O541" s="45"/>
      <c r="P541" s="46" t="str">
        <f>IFERROR(__xludf.DUMMYFUNCTION("IF(OR(AND(C541&lt;&gt;"""", LEN(C541)&lt;3), LEN(C541)&gt;60, AND(D541&lt;&gt;"""", NOT(ISNUMBER(D541))), AND(ISNUMBER(D541), OR(D541&lt;0.01, D541&gt;999999999)), AND(COUNTA(D541:F541, H541:N541)&gt;0, C541=""""),                  
  AND(COUNTA(C541, H541:N541)&gt;0, D541=""""), LEN("&amp;"H541)&gt;50, AND(I541&lt;&gt;"""", NOT(ISNUMBER(I541))), AND(ISNUMBER(I541), OR(I541&lt;0, I541&gt;99998)), AND(L541&lt;&gt;"""", NOT(REGEXMATCH(L541&amp;"""", ""^\d{8,14}$"")))), ""Erro"", """")"),"")</f>
      </c>
    </row>
    <row r="542" ht="15.75" customHeight="true">
      <c r="A542" s="33"/>
      <c r="B542" s="34" t="str">
        <f t="shared" si="1"/>
      </c>
      <c r="C542" s="35"/>
      <c r="D542" s="36"/>
      <c r="E542" s="37"/>
      <c r="F542" s="38"/>
      <c r="G542" s="39" t="str">
        <f t="shared" si="2"/>
      </c>
      <c r="H542" s="40"/>
      <c r="I542" s="41"/>
      <c r="J542" s="41"/>
      <c r="K542" s="41"/>
      <c r="L542" s="42"/>
      <c r="M542" s="43"/>
      <c r="N542" s="44"/>
      <c r="O542" s="45"/>
      <c r="P542" s="46" t="str">
        <f>IFERROR(__xludf.DUMMYFUNCTION("IF(OR(AND(C542&lt;&gt;"""", LEN(C542)&lt;3), LEN(C542)&gt;60, AND(D542&lt;&gt;"""", NOT(ISNUMBER(D542))), AND(ISNUMBER(D542), OR(D542&lt;0.01, D542&gt;999999999)), AND(COUNTA(D542:F542, H542:N542)&gt;0, C542=""""),                  
  AND(COUNTA(C542, H542:N542)&gt;0, D542=""""), LEN("&amp;"H542)&gt;50, AND(I542&lt;&gt;"""", NOT(ISNUMBER(I542))), AND(ISNUMBER(I542), OR(I542&lt;0, I542&gt;99998)), AND(L542&lt;&gt;"""", NOT(REGEXMATCH(L542&amp;"""", ""^\d{8,14}$"")))), ""Erro"", """")"),"")</f>
      </c>
    </row>
    <row r="543" ht="15.75" customHeight="true">
      <c r="A543" s="33"/>
      <c r="B543" s="34" t="str">
        <f t="shared" si="1"/>
      </c>
      <c r="C543" s="35"/>
      <c r="D543" s="36"/>
      <c r="E543" s="37"/>
      <c r="F543" s="38"/>
      <c r="G543" s="39" t="str">
        <f t="shared" si="2"/>
      </c>
      <c r="H543" s="40"/>
      <c r="I543" s="41"/>
      <c r="J543" s="41"/>
      <c r="K543" s="41"/>
      <c r="L543" s="42"/>
      <c r="M543" s="43"/>
      <c r="N543" s="44"/>
      <c r="O543" s="45"/>
      <c r="P543" s="46" t="str">
        <f>IFERROR(__xludf.DUMMYFUNCTION("IF(OR(AND(C543&lt;&gt;"""", LEN(C543)&lt;3), LEN(C543)&gt;60, AND(D543&lt;&gt;"""", NOT(ISNUMBER(D543))), AND(ISNUMBER(D543), OR(D543&lt;0.01, D543&gt;999999999)), AND(COUNTA(D543:F543, H543:N543)&gt;0, C543=""""),                  
  AND(COUNTA(C543, H543:N543)&gt;0, D543=""""), LEN("&amp;"H543)&gt;50, AND(I543&lt;&gt;"""", NOT(ISNUMBER(I543))), AND(ISNUMBER(I543), OR(I543&lt;0, I543&gt;99998)), AND(L543&lt;&gt;"""", NOT(REGEXMATCH(L543&amp;"""", ""^\d{8,14}$"")))), ""Erro"", """")"),"")</f>
      </c>
    </row>
    <row r="544" ht="15.75" customHeight="true">
      <c r="A544" s="33"/>
      <c r="B544" s="34" t="str">
        <f t="shared" si="1"/>
      </c>
      <c r="C544" s="35"/>
      <c r="D544" s="36"/>
      <c r="E544" s="37"/>
      <c r="F544" s="38"/>
      <c r="G544" s="39" t="str">
        <f t="shared" si="2"/>
      </c>
      <c r="H544" s="40"/>
      <c r="I544" s="41"/>
      <c r="J544" s="41"/>
      <c r="K544" s="41"/>
      <c r="L544" s="42"/>
      <c r="M544" s="43"/>
      <c r="N544" s="44"/>
      <c r="O544" s="45"/>
      <c r="P544" s="46" t="str">
        <f>IFERROR(__xludf.DUMMYFUNCTION("IF(OR(AND(C544&lt;&gt;"""", LEN(C544)&lt;3), LEN(C544)&gt;60, AND(D544&lt;&gt;"""", NOT(ISNUMBER(D544))), AND(ISNUMBER(D544), OR(D544&lt;0.01, D544&gt;999999999)), AND(COUNTA(D544:F544, H544:N544)&gt;0, C544=""""),                  
  AND(COUNTA(C544, H544:N544)&gt;0, D544=""""), LEN("&amp;"H544)&gt;50, AND(I544&lt;&gt;"""", NOT(ISNUMBER(I544))), AND(ISNUMBER(I544), OR(I544&lt;0, I544&gt;99998)), AND(L544&lt;&gt;"""", NOT(REGEXMATCH(L544&amp;"""", ""^\d{8,14}$"")))), ""Erro"", """")"),"")</f>
      </c>
    </row>
    <row r="545" ht="15.75" customHeight="true">
      <c r="A545" s="33"/>
      <c r="B545" s="34" t="str">
        <f t="shared" si="1"/>
      </c>
      <c r="C545" s="35"/>
      <c r="D545" s="36"/>
      <c r="E545" s="37"/>
      <c r="F545" s="38"/>
      <c r="G545" s="39" t="str">
        <f t="shared" si="2"/>
      </c>
      <c r="H545" s="40"/>
      <c r="I545" s="41"/>
      <c r="J545" s="41"/>
      <c r="K545" s="41"/>
      <c r="L545" s="42"/>
      <c r="M545" s="43"/>
      <c r="N545" s="44"/>
      <c r="O545" s="45"/>
      <c r="P545" s="46" t="str">
        <f>IFERROR(__xludf.DUMMYFUNCTION("IF(OR(AND(C545&lt;&gt;"""", LEN(C545)&lt;3), LEN(C545)&gt;60, AND(D545&lt;&gt;"""", NOT(ISNUMBER(D545))), AND(ISNUMBER(D545), OR(D545&lt;0.01, D545&gt;999999999)), AND(COUNTA(D545:F545, H545:N545)&gt;0, C545=""""),                  
  AND(COUNTA(C545, H545:N545)&gt;0, D545=""""), LEN("&amp;"H545)&gt;50, AND(I545&lt;&gt;"""", NOT(ISNUMBER(I545))), AND(ISNUMBER(I545), OR(I545&lt;0, I545&gt;99998)), AND(L545&lt;&gt;"""", NOT(REGEXMATCH(L545&amp;"""", ""^\d{8,14}$"")))), ""Erro"", """")"),"")</f>
      </c>
    </row>
    <row r="546" ht="15.75" customHeight="true">
      <c r="A546" s="33"/>
      <c r="B546" s="34" t="str">
        <f t="shared" si="1"/>
      </c>
      <c r="C546" s="35"/>
      <c r="D546" s="36"/>
      <c r="E546" s="37"/>
      <c r="F546" s="38"/>
      <c r="G546" s="39" t="str">
        <f t="shared" si="2"/>
      </c>
      <c r="H546" s="40"/>
      <c r="I546" s="41"/>
      <c r="J546" s="41"/>
      <c r="K546" s="41"/>
      <c r="L546" s="42"/>
      <c r="M546" s="43"/>
      <c r="N546" s="44"/>
      <c r="O546" s="45"/>
      <c r="P546" s="46" t="str">
        <f>IFERROR(__xludf.DUMMYFUNCTION("IF(OR(AND(C546&lt;&gt;"""", LEN(C546)&lt;3), LEN(C546)&gt;60, AND(D546&lt;&gt;"""", NOT(ISNUMBER(D546))), AND(ISNUMBER(D546), OR(D546&lt;0.01, D546&gt;999999999)), AND(COUNTA(D546:F546, H546:N546)&gt;0, C546=""""),                  
  AND(COUNTA(C546, H546:N546)&gt;0, D546=""""), LEN("&amp;"H546)&gt;50, AND(I546&lt;&gt;"""", NOT(ISNUMBER(I546))), AND(ISNUMBER(I546), OR(I546&lt;0, I546&gt;99998)), AND(L546&lt;&gt;"""", NOT(REGEXMATCH(L546&amp;"""", ""^\d{8,14}$"")))), ""Erro"", """")"),"")</f>
      </c>
    </row>
    <row r="547" ht="15.75" customHeight="true">
      <c r="A547" s="33"/>
      <c r="B547" s="34" t="str">
        <f t="shared" si="1"/>
      </c>
      <c r="C547" s="35"/>
      <c r="D547" s="36"/>
      <c r="E547" s="37"/>
      <c r="F547" s="38"/>
      <c r="G547" s="39" t="str">
        <f t="shared" si="2"/>
      </c>
      <c r="H547" s="40"/>
      <c r="I547" s="41"/>
      <c r="J547" s="41"/>
      <c r="K547" s="41"/>
      <c r="L547" s="42"/>
      <c r="M547" s="43"/>
      <c r="N547" s="44"/>
      <c r="O547" s="45"/>
      <c r="P547" s="46" t="str">
        <f>IFERROR(__xludf.DUMMYFUNCTION("IF(OR(AND(C547&lt;&gt;"""", LEN(C547)&lt;3), LEN(C547)&gt;60, AND(D547&lt;&gt;"""", NOT(ISNUMBER(D547))), AND(ISNUMBER(D547), OR(D547&lt;0.01, D547&gt;999999999)), AND(COUNTA(D547:F547, H547:N547)&gt;0, C547=""""),                  
  AND(COUNTA(C547, H547:N547)&gt;0, D547=""""), LEN("&amp;"H547)&gt;50, AND(I547&lt;&gt;"""", NOT(ISNUMBER(I547))), AND(ISNUMBER(I547), OR(I547&lt;0, I547&gt;99998)), AND(L547&lt;&gt;"""", NOT(REGEXMATCH(L547&amp;"""", ""^\d{8,14}$"")))), ""Erro"", """")"),"")</f>
      </c>
    </row>
    <row r="548" ht="15.75" customHeight="true">
      <c r="A548" s="33"/>
      <c r="B548" s="34" t="str">
        <f t="shared" si="1"/>
      </c>
      <c r="C548" s="35"/>
      <c r="D548" s="36"/>
      <c r="E548" s="37"/>
      <c r="F548" s="38"/>
      <c r="G548" s="39" t="str">
        <f t="shared" si="2"/>
      </c>
      <c r="H548" s="40"/>
      <c r="I548" s="41"/>
      <c r="J548" s="41"/>
      <c r="K548" s="41"/>
      <c r="L548" s="42"/>
      <c r="M548" s="43"/>
      <c r="N548" s="44"/>
      <c r="O548" s="45"/>
      <c r="P548" s="46" t="str">
        <f>IFERROR(__xludf.DUMMYFUNCTION("IF(OR(AND(C548&lt;&gt;"""", LEN(C548)&lt;3), LEN(C548)&gt;60, AND(D548&lt;&gt;"""", NOT(ISNUMBER(D548))), AND(ISNUMBER(D548), OR(D548&lt;0.01, D548&gt;999999999)), AND(COUNTA(D548:F548, H548:N548)&gt;0, C548=""""),                  
  AND(COUNTA(C548, H548:N548)&gt;0, D548=""""), LEN("&amp;"H548)&gt;50, AND(I548&lt;&gt;"""", NOT(ISNUMBER(I548))), AND(ISNUMBER(I548), OR(I548&lt;0, I548&gt;99998)), AND(L548&lt;&gt;"""", NOT(REGEXMATCH(L548&amp;"""", ""^\d{8,14}$"")))), ""Erro"", """")"),"")</f>
      </c>
    </row>
    <row r="549" ht="15.75" customHeight="true">
      <c r="A549" s="33"/>
      <c r="B549" s="34" t="str">
        <f t="shared" si="1"/>
      </c>
      <c r="C549" s="35"/>
      <c r="D549" s="36"/>
      <c r="E549" s="37"/>
      <c r="F549" s="38"/>
      <c r="G549" s="39" t="str">
        <f t="shared" si="2"/>
      </c>
      <c r="H549" s="40"/>
      <c r="I549" s="41"/>
      <c r="J549" s="41"/>
      <c r="K549" s="41"/>
      <c r="L549" s="42"/>
      <c r="M549" s="43"/>
      <c r="N549" s="44"/>
      <c r="O549" s="45"/>
      <c r="P549" s="46" t="str">
        <f>IFERROR(__xludf.DUMMYFUNCTION("IF(OR(AND(C549&lt;&gt;"""", LEN(C549)&lt;3), LEN(C549)&gt;60, AND(D549&lt;&gt;"""", NOT(ISNUMBER(D549))), AND(ISNUMBER(D549), OR(D549&lt;0.01, D549&gt;999999999)), AND(COUNTA(D549:F549, H549:N549)&gt;0, C549=""""),                  
  AND(COUNTA(C549, H549:N549)&gt;0, D549=""""), LEN("&amp;"H549)&gt;50, AND(I549&lt;&gt;"""", NOT(ISNUMBER(I549))), AND(ISNUMBER(I549), OR(I549&lt;0, I549&gt;99998)), AND(L549&lt;&gt;"""", NOT(REGEXMATCH(L549&amp;"""", ""^\d{8,14}$"")))), ""Erro"", """")"),"")</f>
      </c>
    </row>
    <row r="550" ht="15.75" customHeight="true">
      <c r="A550" s="33"/>
      <c r="B550" s="34" t="str">
        <f t="shared" si="1"/>
      </c>
      <c r="C550" s="35"/>
      <c r="D550" s="36"/>
      <c r="E550" s="37"/>
      <c r="F550" s="38"/>
      <c r="G550" s="39" t="str">
        <f t="shared" si="2"/>
      </c>
      <c r="H550" s="40"/>
      <c r="I550" s="41"/>
      <c r="J550" s="41"/>
      <c r="K550" s="41"/>
      <c r="L550" s="42"/>
      <c r="M550" s="43"/>
      <c r="N550" s="44"/>
      <c r="O550" s="45"/>
      <c r="P550" s="46" t="str">
        <f>IFERROR(__xludf.DUMMYFUNCTION("IF(OR(AND(C550&lt;&gt;"""", LEN(C550)&lt;3), LEN(C550)&gt;60, AND(D550&lt;&gt;"""", NOT(ISNUMBER(D550))), AND(ISNUMBER(D550), OR(D550&lt;0.01, D550&gt;999999999)), AND(COUNTA(D550:F550, H550:N550)&gt;0, C550=""""),                  
  AND(COUNTA(C550, H550:N550)&gt;0, D550=""""), LEN("&amp;"H550)&gt;50, AND(I550&lt;&gt;"""", NOT(ISNUMBER(I550))), AND(ISNUMBER(I550), OR(I550&lt;0, I550&gt;99998)), AND(L550&lt;&gt;"""", NOT(REGEXMATCH(L550&amp;"""", ""^\d{8,14}$"")))), ""Erro"", """")"),"")</f>
      </c>
    </row>
    <row r="551" ht="15.75" customHeight="true">
      <c r="A551" s="33"/>
      <c r="B551" s="34" t="str">
        <f t="shared" si="1"/>
      </c>
      <c r="C551" s="35"/>
      <c r="D551" s="36"/>
      <c r="E551" s="37"/>
      <c r="F551" s="38"/>
      <c r="G551" s="39" t="str">
        <f t="shared" si="2"/>
      </c>
      <c r="H551" s="40"/>
      <c r="I551" s="41"/>
      <c r="J551" s="41"/>
      <c r="K551" s="41"/>
      <c r="L551" s="42"/>
      <c r="M551" s="43"/>
      <c r="N551" s="44"/>
      <c r="O551" s="45"/>
      <c r="P551" s="46" t="str">
        <f>IFERROR(__xludf.DUMMYFUNCTION("IF(OR(AND(C551&lt;&gt;"""", LEN(C551)&lt;3), LEN(C551)&gt;60, AND(D551&lt;&gt;"""", NOT(ISNUMBER(D551))), AND(ISNUMBER(D551), OR(D551&lt;0.01, D551&gt;999999999)), AND(COUNTA(D551:F551, H551:N551)&gt;0, C551=""""),                  
  AND(COUNTA(C551, H551:N551)&gt;0, D551=""""), LEN("&amp;"H551)&gt;50, AND(I551&lt;&gt;"""", NOT(ISNUMBER(I551))), AND(ISNUMBER(I551), OR(I551&lt;0, I551&gt;99998)), AND(L551&lt;&gt;"""", NOT(REGEXMATCH(L551&amp;"""", ""^\d{8,14}$"")))), ""Erro"", """")"),"")</f>
      </c>
    </row>
    <row r="552" ht="15.75" customHeight="true">
      <c r="A552" s="33"/>
      <c r="B552" s="34" t="str">
        <f t="shared" si="1"/>
      </c>
      <c r="C552" s="35"/>
      <c r="D552" s="36"/>
      <c r="E552" s="37"/>
      <c r="F552" s="38"/>
      <c r="G552" s="39" t="str">
        <f t="shared" si="2"/>
      </c>
      <c r="H552" s="40"/>
      <c r="I552" s="41"/>
      <c r="J552" s="41"/>
      <c r="K552" s="41"/>
      <c r="L552" s="42"/>
      <c r="M552" s="43"/>
      <c r="N552" s="44"/>
      <c r="O552" s="45"/>
      <c r="P552" s="46" t="str">
        <f>IFERROR(__xludf.DUMMYFUNCTION("IF(OR(AND(C552&lt;&gt;"""", LEN(C552)&lt;3), LEN(C552)&gt;60, AND(D552&lt;&gt;"""", NOT(ISNUMBER(D552))), AND(ISNUMBER(D552), OR(D552&lt;0.01, D552&gt;999999999)), AND(COUNTA(D552:F552, H552:N552)&gt;0, C552=""""),                  
  AND(COUNTA(C552, H552:N552)&gt;0, D552=""""), LEN("&amp;"H552)&gt;50, AND(I552&lt;&gt;"""", NOT(ISNUMBER(I552))), AND(ISNUMBER(I552), OR(I552&lt;0, I552&gt;99998)), AND(L552&lt;&gt;"""", NOT(REGEXMATCH(L552&amp;"""", ""^\d{8,14}$"")))), ""Erro"", """")"),"")</f>
      </c>
    </row>
    <row r="553" ht="15.75" customHeight="true">
      <c r="A553" s="33"/>
      <c r="B553" s="34" t="str">
        <f t="shared" si="1"/>
      </c>
      <c r="C553" s="35"/>
      <c r="D553" s="36"/>
      <c r="E553" s="37"/>
      <c r="F553" s="38"/>
      <c r="G553" s="39" t="str">
        <f t="shared" si="2"/>
      </c>
      <c r="H553" s="40"/>
      <c r="I553" s="41"/>
      <c r="J553" s="41"/>
      <c r="K553" s="41"/>
      <c r="L553" s="42"/>
      <c r="M553" s="43"/>
      <c r="N553" s="44"/>
      <c r="O553" s="45"/>
      <c r="P553" s="46" t="str">
        <f>IFERROR(__xludf.DUMMYFUNCTION("IF(OR(AND(C553&lt;&gt;"""", LEN(C553)&lt;3), LEN(C553)&gt;60, AND(D553&lt;&gt;"""", NOT(ISNUMBER(D553))), AND(ISNUMBER(D553), OR(D553&lt;0.01, D553&gt;999999999)), AND(COUNTA(D553:F553, H553:N553)&gt;0, C553=""""),                  
  AND(COUNTA(C553, H553:N553)&gt;0, D553=""""), LEN("&amp;"H553)&gt;50, AND(I553&lt;&gt;"""", NOT(ISNUMBER(I553))), AND(ISNUMBER(I553), OR(I553&lt;0, I553&gt;99998)), AND(L553&lt;&gt;"""", NOT(REGEXMATCH(L553&amp;"""", ""^\d{8,14}$"")))), ""Erro"", """")"),"")</f>
      </c>
    </row>
    <row r="554" ht="15.75" customHeight="true">
      <c r="A554" s="33"/>
      <c r="B554" s="34" t="str">
        <f t="shared" si="1"/>
      </c>
      <c r="C554" s="35"/>
      <c r="D554" s="36"/>
      <c r="E554" s="37"/>
      <c r="F554" s="38"/>
      <c r="G554" s="39" t="str">
        <f t="shared" si="2"/>
      </c>
      <c r="H554" s="40"/>
      <c r="I554" s="41"/>
      <c r="J554" s="41"/>
      <c r="K554" s="41"/>
      <c r="L554" s="42"/>
      <c r="M554" s="43"/>
      <c r="N554" s="44"/>
      <c r="O554" s="45"/>
      <c r="P554" s="46" t="str">
        <f>IFERROR(__xludf.DUMMYFUNCTION("IF(OR(AND(C554&lt;&gt;"""", LEN(C554)&lt;3), LEN(C554)&gt;60, AND(D554&lt;&gt;"""", NOT(ISNUMBER(D554))), AND(ISNUMBER(D554), OR(D554&lt;0.01, D554&gt;999999999)), AND(COUNTA(D554:F554, H554:N554)&gt;0, C554=""""),                  
  AND(COUNTA(C554, H554:N554)&gt;0, D554=""""), LEN("&amp;"H554)&gt;50, AND(I554&lt;&gt;"""", NOT(ISNUMBER(I554))), AND(ISNUMBER(I554), OR(I554&lt;0, I554&gt;99998)), AND(L554&lt;&gt;"""", NOT(REGEXMATCH(L554&amp;"""", ""^\d{8,14}$"")))), ""Erro"", """")"),"")</f>
      </c>
    </row>
    <row r="555" ht="15.75" customHeight="true">
      <c r="A555" s="33"/>
      <c r="B555" s="34" t="str">
        <f t="shared" si="1"/>
      </c>
      <c r="C555" s="35"/>
      <c r="D555" s="36"/>
      <c r="E555" s="37"/>
      <c r="F555" s="38"/>
      <c r="G555" s="39" t="str">
        <f t="shared" si="2"/>
      </c>
      <c r="H555" s="40"/>
      <c r="I555" s="41"/>
      <c r="J555" s="41"/>
      <c r="K555" s="41"/>
      <c r="L555" s="42"/>
      <c r="M555" s="43"/>
      <c r="N555" s="44"/>
      <c r="O555" s="45"/>
      <c r="P555" s="46" t="str">
        <f>IFERROR(__xludf.DUMMYFUNCTION("IF(OR(AND(C555&lt;&gt;"""", LEN(C555)&lt;3), LEN(C555)&gt;60, AND(D555&lt;&gt;"""", NOT(ISNUMBER(D555))), AND(ISNUMBER(D555), OR(D555&lt;0.01, D555&gt;999999999)), AND(COUNTA(D555:F555, H555:N555)&gt;0, C555=""""),                  
  AND(COUNTA(C555, H555:N555)&gt;0, D555=""""), LEN("&amp;"H555)&gt;50, AND(I555&lt;&gt;"""", NOT(ISNUMBER(I555))), AND(ISNUMBER(I555), OR(I555&lt;0, I555&gt;99998)), AND(L555&lt;&gt;"""", NOT(REGEXMATCH(L555&amp;"""", ""^\d{8,14}$"")))), ""Erro"", """")"),"")</f>
      </c>
    </row>
    <row r="556" ht="15.75" customHeight="true">
      <c r="A556" s="33"/>
      <c r="B556" s="34" t="str">
        <f t="shared" si="1"/>
      </c>
      <c r="C556" s="35"/>
      <c r="D556" s="36"/>
      <c r="E556" s="37"/>
      <c r="F556" s="38"/>
      <c r="G556" s="39" t="str">
        <f t="shared" si="2"/>
      </c>
      <c r="H556" s="40"/>
      <c r="I556" s="41"/>
      <c r="J556" s="41"/>
      <c r="K556" s="41"/>
      <c r="L556" s="42"/>
      <c r="M556" s="43"/>
      <c r="N556" s="44"/>
      <c r="O556" s="45"/>
      <c r="P556" s="46" t="str">
        <f>IFERROR(__xludf.DUMMYFUNCTION("IF(OR(AND(C556&lt;&gt;"""", LEN(C556)&lt;3), LEN(C556)&gt;60, AND(D556&lt;&gt;"""", NOT(ISNUMBER(D556))), AND(ISNUMBER(D556), OR(D556&lt;0.01, D556&gt;999999999)), AND(COUNTA(D556:F556, H556:N556)&gt;0, C556=""""),                  
  AND(COUNTA(C556, H556:N556)&gt;0, D556=""""), LEN("&amp;"H556)&gt;50, AND(I556&lt;&gt;"""", NOT(ISNUMBER(I556))), AND(ISNUMBER(I556), OR(I556&lt;0, I556&gt;99998)), AND(L556&lt;&gt;"""", NOT(REGEXMATCH(L556&amp;"""", ""^\d{8,14}$"")))), ""Erro"", """")"),"")</f>
      </c>
    </row>
    <row r="557" ht="15.75" customHeight="true">
      <c r="A557" s="33"/>
      <c r="B557" s="34" t="str">
        <f t="shared" si="1"/>
      </c>
      <c r="C557" s="35"/>
      <c r="D557" s="36"/>
      <c r="E557" s="37"/>
      <c r="F557" s="38"/>
      <c r="G557" s="39" t="str">
        <f t="shared" si="2"/>
      </c>
      <c r="H557" s="40"/>
      <c r="I557" s="41"/>
      <c r="J557" s="41"/>
      <c r="K557" s="41"/>
      <c r="L557" s="42"/>
      <c r="M557" s="43"/>
      <c r="N557" s="44"/>
      <c r="O557" s="45"/>
      <c r="P557" s="46" t="str">
        <f>IFERROR(__xludf.DUMMYFUNCTION("IF(OR(AND(C557&lt;&gt;"""", LEN(C557)&lt;3), LEN(C557)&gt;60, AND(D557&lt;&gt;"""", NOT(ISNUMBER(D557))), AND(ISNUMBER(D557), OR(D557&lt;0.01, D557&gt;999999999)), AND(COUNTA(D557:F557, H557:N557)&gt;0, C557=""""),                  
  AND(COUNTA(C557, H557:N557)&gt;0, D557=""""), LEN("&amp;"H557)&gt;50, AND(I557&lt;&gt;"""", NOT(ISNUMBER(I557))), AND(ISNUMBER(I557), OR(I557&lt;0, I557&gt;99998)), AND(L557&lt;&gt;"""", NOT(REGEXMATCH(L557&amp;"""", ""^\d{8,14}$"")))), ""Erro"", """")"),"")</f>
      </c>
    </row>
    <row r="558" ht="15.75" customHeight="true">
      <c r="A558" s="33"/>
      <c r="B558" s="34" t="str">
        <f t="shared" si="1"/>
      </c>
      <c r="C558" s="35"/>
      <c r="D558" s="36"/>
      <c r="E558" s="37"/>
      <c r="F558" s="38"/>
      <c r="G558" s="39" t="str">
        <f t="shared" si="2"/>
      </c>
      <c r="H558" s="40"/>
      <c r="I558" s="41"/>
      <c r="J558" s="41"/>
      <c r="K558" s="41"/>
      <c r="L558" s="42"/>
      <c r="M558" s="43"/>
      <c r="N558" s="44"/>
      <c r="O558" s="45"/>
      <c r="P558" s="46" t="str">
        <f>IFERROR(__xludf.DUMMYFUNCTION("IF(OR(AND(C558&lt;&gt;"""", LEN(C558)&lt;3), LEN(C558)&gt;60, AND(D558&lt;&gt;"""", NOT(ISNUMBER(D558))), AND(ISNUMBER(D558), OR(D558&lt;0.01, D558&gt;999999999)), AND(COUNTA(D558:F558, H558:N558)&gt;0, C558=""""),                  
  AND(COUNTA(C558, H558:N558)&gt;0, D558=""""), LEN("&amp;"H558)&gt;50, AND(I558&lt;&gt;"""", NOT(ISNUMBER(I558))), AND(ISNUMBER(I558), OR(I558&lt;0, I558&gt;99998)), AND(L558&lt;&gt;"""", NOT(REGEXMATCH(L558&amp;"""", ""^\d{8,14}$"")))), ""Erro"", """")"),"")</f>
      </c>
    </row>
    <row r="559" ht="15.75" customHeight="true">
      <c r="A559" s="33"/>
      <c r="B559" s="34" t="str">
        <f t="shared" si="1"/>
      </c>
      <c r="C559" s="35"/>
      <c r="D559" s="36"/>
      <c r="E559" s="37"/>
      <c r="F559" s="38"/>
      <c r="G559" s="39" t="str">
        <f t="shared" si="2"/>
      </c>
      <c r="H559" s="40"/>
      <c r="I559" s="41"/>
      <c r="J559" s="41"/>
      <c r="K559" s="41"/>
      <c r="L559" s="42"/>
      <c r="M559" s="43"/>
      <c r="N559" s="44"/>
      <c r="O559" s="45"/>
      <c r="P559" s="46" t="str">
        <f>IFERROR(__xludf.DUMMYFUNCTION("IF(OR(AND(C559&lt;&gt;"""", LEN(C559)&lt;3), LEN(C559)&gt;60, AND(D559&lt;&gt;"""", NOT(ISNUMBER(D559))), AND(ISNUMBER(D559), OR(D559&lt;0.01, D559&gt;999999999)), AND(COUNTA(D559:F559, H559:N559)&gt;0, C559=""""),                  
  AND(COUNTA(C559, H559:N559)&gt;0, D559=""""), LEN("&amp;"H559)&gt;50, AND(I559&lt;&gt;"""", NOT(ISNUMBER(I559))), AND(ISNUMBER(I559), OR(I559&lt;0, I559&gt;99998)), AND(L559&lt;&gt;"""", NOT(REGEXMATCH(L559&amp;"""", ""^\d{8,14}$"")))), ""Erro"", """")"),"")</f>
      </c>
    </row>
    <row r="560" ht="15.75" customHeight="true">
      <c r="A560" s="33"/>
      <c r="B560" s="34" t="str">
        <f t="shared" si="1"/>
      </c>
      <c r="C560" s="35"/>
      <c r="D560" s="36"/>
      <c r="E560" s="37"/>
      <c r="F560" s="38"/>
      <c r="G560" s="39" t="str">
        <f t="shared" si="2"/>
      </c>
      <c r="H560" s="40"/>
      <c r="I560" s="41"/>
      <c r="J560" s="41"/>
      <c r="K560" s="41"/>
      <c r="L560" s="42"/>
      <c r="M560" s="43"/>
      <c r="N560" s="44"/>
      <c r="O560" s="45"/>
      <c r="P560" s="46" t="str">
        <f>IFERROR(__xludf.DUMMYFUNCTION("IF(OR(AND(C560&lt;&gt;"""", LEN(C560)&lt;3), LEN(C560)&gt;60, AND(D560&lt;&gt;"""", NOT(ISNUMBER(D560))), AND(ISNUMBER(D560), OR(D560&lt;0.01, D560&gt;999999999)), AND(COUNTA(D560:F560, H560:N560)&gt;0, C560=""""),                  
  AND(COUNTA(C560, H560:N560)&gt;0, D560=""""), LEN("&amp;"H560)&gt;50, AND(I560&lt;&gt;"""", NOT(ISNUMBER(I560))), AND(ISNUMBER(I560), OR(I560&lt;0, I560&gt;99998)), AND(L560&lt;&gt;"""", NOT(REGEXMATCH(L560&amp;"""", ""^\d{8,14}$"")))), ""Erro"", """")"),"")</f>
      </c>
    </row>
    <row r="561" ht="15.75" customHeight="true">
      <c r="A561" s="33"/>
      <c r="B561" s="34" t="str">
        <f t="shared" si="1"/>
      </c>
      <c r="C561" s="35"/>
      <c r="D561" s="36"/>
      <c r="E561" s="37"/>
      <c r="F561" s="38"/>
      <c r="G561" s="39" t="str">
        <f t="shared" si="2"/>
      </c>
      <c r="H561" s="40"/>
      <c r="I561" s="41"/>
      <c r="J561" s="41"/>
      <c r="K561" s="41"/>
      <c r="L561" s="42"/>
      <c r="M561" s="43"/>
      <c r="N561" s="44"/>
      <c r="O561" s="45"/>
      <c r="P561" s="46" t="str">
        <f>IFERROR(__xludf.DUMMYFUNCTION("IF(OR(AND(C561&lt;&gt;"""", LEN(C561)&lt;3), LEN(C561)&gt;60, AND(D561&lt;&gt;"""", NOT(ISNUMBER(D561))), AND(ISNUMBER(D561), OR(D561&lt;0.01, D561&gt;999999999)), AND(COUNTA(D561:F561, H561:N561)&gt;0, C561=""""),                  
  AND(COUNTA(C561, H561:N561)&gt;0, D561=""""), LEN("&amp;"H561)&gt;50, AND(I561&lt;&gt;"""", NOT(ISNUMBER(I561))), AND(ISNUMBER(I561), OR(I561&lt;0, I561&gt;99998)), AND(L561&lt;&gt;"""", NOT(REGEXMATCH(L561&amp;"""", ""^\d{8,14}$"")))), ""Erro"", """")"),"")</f>
      </c>
    </row>
    <row r="562" ht="15.75" customHeight="true">
      <c r="A562" s="33"/>
      <c r="B562" s="34" t="str">
        <f t="shared" si="1"/>
      </c>
      <c r="C562" s="35"/>
      <c r="D562" s="36"/>
      <c r="E562" s="37"/>
      <c r="F562" s="38"/>
      <c r="G562" s="39" t="str">
        <f t="shared" si="2"/>
      </c>
      <c r="H562" s="40"/>
      <c r="I562" s="41"/>
      <c r="J562" s="41"/>
      <c r="K562" s="41"/>
      <c r="L562" s="42"/>
      <c r="M562" s="43"/>
      <c r="N562" s="44"/>
      <c r="O562" s="45"/>
      <c r="P562" s="46" t="str">
        <f>IFERROR(__xludf.DUMMYFUNCTION("IF(OR(AND(C562&lt;&gt;"""", LEN(C562)&lt;3), LEN(C562)&gt;60, AND(D562&lt;&gt;"""", NOT(ISNUMBER(D562))), AND(ISNUMBER(D562), OR(D562&lt;0.01, D562&gt;999999999)), AND(COUNTA(D562:F562, H562:N562)&gt;0, C562=""""),                  
  AND(COUNTA(C562, H562:N562)&gt;0, D562=""""), LEN("&amp;"H562)&gt;50, AND(I562&lt;&gt;"""", NOT(ISNUMBER(I562))), AND(ISNUMBER(I562), OR(I562&lt;0, I562&gt;99998)), AND(L562&lt;&gt;"""", NOT(REGEXMATCH(L562&amp;"""", ""^\d{8,14}$"")))), ""Erro"", """")"),"")</f>
      </c>
    </row>
    <row r="563" ht="15.75" customHeight="true">
      <c r="A563" s="33"/>
      <c r="B563" s="34" t="str">
        <f t="shared" si="1"/>
      </c>
      <c r="C563" s="35"/>
      <c r="D563" s="36"/>
      <c r="E563" s="37"/>
      <c r="F563" s="38"/>
      <c r="G563" s="39" t="str">
        <f t="shared" si="2"/>
      </c>
      <c r="H563" s="40"/>
      <c r="I563" s="41"/>
      <c r="J563" s="41"/>
      <c r="K563" s="41"/>
      <c r="L563" s="42"/>
      <c r="M563" s="43"/>
      <c r="N563" s="44"/>
      <c r="O563" s="45"/>
      <c r="P563" s="46" t="str">
        <f>IFERROR(__xludf.DUMMYFUNCTION("IF(OR(AND(C563&lt;&gt;"""", LEN(C563)&lt;3), LEN(C563)&gt;60, AND(D563&lt;&gt;"""", NOT(ISNUMBER(D563))), AND(ISNUMBER(D563), OR(D563&lt;0.01, D563&gt;999999999)), AND(COUNTA(D563:F563, H563:N563)&gt;0, C563=""""),                  
  AND(COUNTA(C563, H563:N563)&gt;0, D563=""""), LEN("&amp;"H563)&gt;50, AND(I563&lt;&gt;"""", NOT(ISNUMBER(I563))), AND(ISNUMBER(I563), OR(I563&lt;0, I563&gt;99998)), AND(L563&lt;&gt;"""", NOT(REGEXMATCH(L563&amp;"""", ""^\d{8,14}$"")))), ""Erro"", """")"),"")</f>
      </c>
    </row>
    <row r="564" ht="15.75" customHeight="true">
      <c r="A564" s="33"/>
      <c r="B564" s="34" t="str">
        <f t="shared" si="1"/>
      </c>
      <c r="C564" s="35"/>
      <c r="D564" s="36"/>
      <c r="E564" s="37"/>
      <c r="F564" s="38"/>
      <c r="G564" s="39" t="str">
        <f t="shared" si="2"/>
      </c>
      <c r="H564" s="40"/>
      <c r="I564" s="41"/>
      <c r="J564" s="41"/>
      <c r="K564" s="41"/>
      <c r="L564" s="42"/>
      <c r="M564" s="43"/>
      <c r="N564" s="44"/>
      <c r="O564" s="45"/>
      <c r="P564" s="46" t="str">
        <f>IFERROR(__xludf.DUMMYFUNCTION("IF(OR(AND(C564&lt;&gt;"""", LEN(C564)&lt;3), LEN(C564)&gt;60, AND(D564&lt;&gt;"""", NOT(ISNUMBER(D564))), AND(ISNUMBER(D564), OR(D564&lt;0.01, D564&gt;999999999)), AND(COUNTA(D564:F564, H564:N564)&gt;0, C564=""""),                  
  AND(COUNTA(C564, H564:N564)&gt;0, D564=""""), LEN("&amp;"H564)&gt;50, AND(I564&lt;&gt;"""", NOT(ISNUMBER(I564))), AND(ISNUMBER(I564), OR(I564&lt;0, I564&gt;99998)), AND(L564&lt;&gt;"""", NOT(REGEXMATCH(L564&amp;"""", ""^\d{8,14}$"")))), ""Erro"", """")"),"")</f>
      </c>
    </row>
    <row r="565" ht="15.75" customHeight="true">
      <c r="A565" s="33"/>
      <c r="B565" s="34" t="str">
        <f t="shared" si="1"/>
      </c>
      <c r="C565" s="35"/>
      <c r="D565" s="36"/>
      <c r="E565" s="37"/>
      <c r="F565" s="38"/>
      <c r="G565" s="39" t="str">
        <f t="shared" si="2"/>
      </c>
      <c r="H565" s="40"/>
      <c r="I565" s="41"/>
      <c r="J565" s="41"/>
      <c r="K565" s="41"/>
      <c r="L565" s="42"/>
      <c r="M565" s="43"/>
      <c r="N565" s="44"/>
      <c r="O565" s="45"/>
      <c r="P565" s="46" t="str">
        <f>IFERROR(__xludf.DUMMYFUNCTION("IF(OR(AND(C565&lt;&gt;"""", LEN(C565)&lt;3), LEN(C565)&gt;60, AND(D565&lt;&gt;"""", NOT(ISNUMBER(D565))), AND(ISNUMBER(D565), OR(D565&lt;0.01, D565&gt;999999999)), AND(COUNTA(D565:F565, H565:N565)&gt;0, C565=""""),                  
  AND(COUNTA(C565, H565:N565)&gt;0, D565=""""), LEN("&amp;"H565)&gt;50, AND(I565&lt;&gt;"""", NOT(ISNUMBER(I565))), AND(ISNUMBER(I565), OR(I565&lt;0, I565&gt;99998)), AND(L565&lt;&gt;"""", NOT(REGEXMATCH(L565&amp;"""", ""^\d{8,14}$"")))), ""Erro"", """")"),"")</f>
      </c>
    </row>
    <row r="566" ht="15.75" customHeight="true">
      <c r="A566" s="33"/>
      <c r="B566" s="34" t="str">
        <f t="shared" si="1"/>
      </c>
      <c r="C566" s="35"/>
      <c r="D566" s="36"/>
      <c r="E566" s="37"/>
      <c r="F566" s="38"/>
      <c r="G566" s="39" t="str">
        <f t="shared" si="2"/>
      </c>
      <c r="H566" s="40"/>
      <c r="I566" s="41"/>
      <c r="J566" s="41"/>
      <c r="K566" s="41"/>
      <c r="L566" s="42"/>
      <c r="M566" s="43"/>
      <c r="N566" s="44"/>
      <c r="O566" s="45"/>
      <c r="P566" s="46" t="str">
        <f>IFERROR(__xludf.DUMMYFUNCTION("IF(OR(AND(C566&lt;&gt;"""", LEN(C566)&lt;3), LEN(C566)&gt;60, AND(D566&lt;&gt;"""", NOT(ISNUMBER(D566))), AND(ISNUMBER(D566), OR(D566&lt;0.01, D566&gt;999999999)), AND(COUNTA(D566:F566, H566:N566)&gt;0, C566=""""),                  
  AND(COUNTA(C566, H566:N566)&gt;0, D566=""""), LEN("&amp;"H566)&gt;50, AND(I566&lt;&gt;"""", NOT(ISNUMBER(I566))), AND(ISNUMBER(I566), OR(I566&lt;0, I566&gt;99998)), AND(L566&lt;&gt;"""", NOT(REGEXMATCH(L566&amp;"""", ""^\d{8,14}$"")))), ""Erro"", """")"),"")</f>
      </c>
    </row>
    <row r="567" ht="15.75" customHeight="true">
      <c r="A567" s="33"/>
      <c r="B567" s="34" t="str">
        <f t="shared" si="1"/>
      </c>
      <c r="C567" s="35"/>
      <c r="D567" s="36"/>
      <c r="E567" s="37"/>
      <c r="F567" s="38"/>
      <c r="G567" s="39" t="str">
        <f t="shared" si="2"/>
      </c>
      <c r="H567" s="40"/>
      <c r="I567" s="41"/>
      <c r="J567" s="41"/>
      <c r="K567" s="41"/>
      <c r="L567" s="42"/>
      <c r="M567" s="43"/>
      <c r="N567" s="44"/>
      <c r="O567" s="45"/>
      <c r="P567" s="46" t="str">
        <f>IFERROR(__xludf.DUMMYFUNCTION("IF(OR(AND(C567&lt;&gt;"""", LEN(C567)&lt;3), LEN(C567)&gt;60, AND(D567&lt;&gt;"""", NOT(ISNUMBER(D567))), AND(ISNUMBER(D567), OR(D567&lt;0.01, D567&gt;999999999)), AND(COUNTA(D567:F567, H567:N567)&gt;0, C567=""""),                  
  AND(COUNTA(C567, H567:N567)&gt;0, D567=""""), LEN("&amp;"H567)&gt;50, AND(I567&lt;&gt;"""", NOT(ISNUMBER(I567))), AND(ISNUMBER(I567), OR(I567&lt;0, I567&gt;99998)), AND(L567&lt;&gt;"""", NOT(REGEXMATCH(L567&amp;"""", ""^\d{8,14}$"")))), ""Erro"", """")"),"")</f>
      </c>
    </row>
    <row r="568" ht="15.75" customHeight="true">
      <c r="A568" s="33"/>
      <c r="B568" s="34" t="str">
        <f t="shared" si="1"/>
      </c>
      <c r="C568" s="35"/>
      <c r="D568" s="36"/>
      <c r="E568" s="37"/>
      <c r="F568" s="38"/>
      <c r="G568" s="39" t="str">
        <f t="shared" si="2"/>
      </c>
      <c r="H568" s="40"/>
      <c r="I568" s="41"/>
      <c r="J568" s="41"/>
      <c r="K568" s="41"/>
      <c r="L568" s="42"/>
      <c r="M568" s="43"/>
      <c r="N568" s="44"/>
      <c r="O568" s="45"/>
      <c r="P568" s="46" t="str">
        <f>IFERROR(__xludf.DUMMYFUNCTION("IF(OR(AND(C568&lt;&gt;"""", LEN(C568)&lt;3), LEN(C568)&gt;60, AND(D568&lt;&gt;"""", NOT(ISNUMBER(D568))), AND(ISNUMBER(D568), OR(D568&lt;0.01, D568&gt;999999999)), AND(COUNTA(D568:F568, H568:N568)&gt;0, C568=""""),                  
  AND(COUNTA(C568, H568:N568)&gt;0, D568=""""), LEN("&amp;"H568)&gt;50, AND(I568&lt;&gt;"""", NOT(ISNUMBER(I568))), AND(ISNUMBER(I568), OR(I568&lt;0, I568&gt;99998)), AND(L568&lt;&gt;"""", NOT(REGEXMATCH(L568&amp;"""", ""^\d{8,14}$"")))), ""Erro"", """")"),"")</f>
      </c>
    </row>
    <row r="569" ht="15.75" customHeight="true">
      <c r="A569" s="33"/>
      <c r="B569" s="34" t="str">
        <f t="shared" si="1"/>
      </c>
      <c r="C569" s="35"/>
      <c r="D569" s="36"/>
      <c r="E569" s="37"/>
      <c r="F569" s="38"/>
      <c r="G569" s="39" t="str">
        <f t="shared" si="2"/>
      </c>
      <c r="H569" s="40"/>
      <c r="I569" s="41"/>
      <c r="J569" s="41"/>
      <c r="K569" s="41"/>
      <c r="L569" s="42"/>
      <c r="M569" s="43"/>
      <c r="N569" s="44"/>
      <c r="O569" s="45"/>
      <c r="P569" s="46" t="str">
        <f>IFERROR(__xludf.DUMMYFUNCTION("IF(OR(AND(C569&lt;&gt;"""", LEN(C569)&lt;3), LEN(C569)&gt;60, AND(D569&lt;&gt;"""", NOT(ISNUMBER(D569))), AND(ISNUMBER(D569), OR(D569&lt;0.01, D569&gt;999999999)), AND(COUNTA(D569:F569, H569:N569)&gt;0, C569=""""),                  
  AND(COUNTA(C569, H569:N569)&gt;0, D569=""""), LEN("&amp;"H569)&gt;50, AND(I569&lt;&gt;"""", NOT(ISNUMBER(I569))), AND(ISNUMBER(I569), OR(I569&lt;0, I569&gt;99998)), AND(L569&lt;&gt;"""", NOT(REGEXMATCH(L569&amp;"""", ""^\d{8,14}$"")))), ""Erro"", """")"),"")</f>
      </c>
    </row>
    <row r="570" ht="15.75" customHeight="true">
      <c r="A570" s="33"/>
      <c r="B570" s="34" t="str">
        <f t="shared" si="1"/>
      </c>
      <c r="C570" s="35"/>
      <c r="D570" s="36"/>
      <c r="E570" s="37"/>
      <c r="F570" s="38"/>
      <c r="G570" s="39" t="str">
        <f t="shared" si="2"/>
      </c>
      <c r="H570" s="40"/>
      <c r="I570" s="41"/>
      <c r="J570" s="41"/>
      <c r="K570" s="41"/>
      <c r="L570" s="42"/>
      <c r="M570" s="43"/>
      <c r="N570" s="44"/>
      <c r="O570" s="45"/>
      <c r="P570" s="46" t="str">
        <f>IFERROR(__xludf.DUMMYFUNCTION("IF(OR(AND(C570&lt;&gt;"""", LEN(C570)&lt;3), LEN(C570)&gt;60, AND(D570&lt;&gt;"""", NOT(ISNUMBER(D570))), AND(ISNUMBER(D570), OR(D570&lt;0.01, D570&gt;999999999)), AND(COUNTA(D570:F570, H570:N570)&gt;0, C570=""""),                  
  AND(COUNTA(C570, H570:N570)&gt;0, D570=""""), LEN("&amp;"H570)&gt;50, AND(I570&lt;&gt;"""", NOT(ISNUMBER(I570))), AND(ISNUMBER(I570), OR(I570&lt;0, I570&gt;99998)), AND(L570&lt;&gt;"""", NOT(REGEXMATCH(L570&amp;"""", ""^\d{8,14}$"")))), ""Erro"", """")"),"")</f>
      </c>
    </row>
    <row r="571" ht="15.75" customHeight="true">
      <c r="A571" s="33"/>
      <c r="B571" s="34" t="str">
        <f t="shared" si="1"/>
      </c>
      <c r="C571" s="35"/>
      <c r="D571" s="36"/>
      <c r="E571" s="37"/>
      <c r="F571" s="38"/>
      <c r="G571" s="39" t="str">
        <f t="shared" si="2"/>
      </c>
      <c r="H571" s="40"/>
      <c r="I571" s="41"/>
      <c r="J571" s="41"/>
      <c r="K571" s="41"/>
      <c r="L571" s="42"/>
      <c r="M571" s="43"/>
      <c r="N571" s="44"/>
      <c r="O571" s="45"/>
      <c r="P571" s="46" t="str">
        <f>IFERROR(__xludf.DUMMYFUNCTION("IF(OR(AND(C571&lt;&gt;"""", LEN(C571)&lt;3), LEN(C571)&gt;60, AND(D571&lt;&gt;"""", NOT(ISNUMBER(D571))), AND(ISNUMBER(D571), OR(D571&lt;0.01, D571&gt;999999999)), AND(COUNTA(D571:F571, H571:N571)&gt;0, C571=""""),                  
  AND(COUNTA(C571, H571:N571)&gt;0, D571=""""), LEN("&amp;"H571)&gt;50, AND(I571&lt;&gt;"""", NOT(ISNUMBER(I571))), AND(ISNUMBER(I571), OR(I571&lt;0, I571&gt;99998)), AND(L571&lt;&gt;"""", NOT(REGEXMATCH(L571&amp;"""", ""^\d{8,14}$"")))), ""Erro"", """")"),"")</f>
      </c>
    </row>
    <row r="572" ht="15.75" customHeight="true">
      <c r="A572" s="33"/>
      <c r="B572" s="34" t="str">
        <f t="shared" si="1"/>
      </c>
      <c r="C572" s="35"/>
      <c r="D572" s="36"/>
      <c r="E572" s="37"/>
      <c r="F572" s="38"/>
      <c r="G572" s="39" t="str">
        <f t="shared" si="2"/>
      </c>
      <c r="H572" s="40"/>
      <c r="I572" s="41"/>
      <c r="J572" s="41"/>
      <c r="K572" s="41"/>
      <c r="L572" s="42"/>
      <c r="M572" s="43"/>
      <c r="N572" s="44"/>
      <c r="O572" s="45"/>
      <c r="P572" s="46" t="str">
        <f>IFERROR(__xludf.DUMMYFUNCTION("IF(OR(AND(C572&lt;&gt;"""", LEN(C572)&lt;3), LEN(C572)&gt;60, AND(D572&lt;&gt;"""", NOT(ISNUMBER(D572))), AND(ISNUMBER(D572), OR(D572&lt;0.01, D572&gt;999999999)), AND(COUNTA(D572:F572, H572:N572)&gt;0, C572=""""),                  
  AND(COUNTA(C572, H572:N572)&gt;0, D572=""""), LEN("&amp;"H572)&gt;50, AND(I572&lt;&gt;"""", NOT(ISNUMBER(I572))), AND(ISNUMBER(I572), OR(I572&lt;0, I572&gt;99998)), AND(L572&lt;&gt;"""", NOT(REGEXMATCH(L572&amp;"""", ""^\d{8,14}$"")))), ""Erro"", """")"),"")</f>
      </c>
    </row>
    <row r="573" ht="15.75" customHeight="true">
      <c r="A573" s="33"/>
      <c r="B573" s="34" t="str">
        <f t="shared" si="1"/>
      </c>
      <c r="C573" s="35"/>
      <c r="D573" s="36"/>
      <c r="E573" s="37"/>
      <c r="F573" s="38"/>
      <c r="G573" s="39" t="str">
        <f t="shared" si="2"/>
      </c>
      <c r="H573" s="40"/>
      <c r="I573" s="41"/>
      <c r="J573" s="41"/>
      <c r="K573" s="41"/>
      <c r="L573" s="42"/>
      <c r="M573" s="43"/>
      <c r="N573" s="44"/>
      <c r="O573" s="45"/>
      <c r="P573" s="46" t="str">
        <f>IFERROR(__xludf.DUMMYFUNCTION("IF(OR(AND(C573&lt;&gt;"""", LEN(C573)&lt;3), LEN(C573)&gt;60, AND(D573&lt;&gt;"""", NOT(ISNUMBER(D573))), AND(ISNUMBER(D573), OR(D573&lt;0.01, D573&gt;999999999)), AND(COUNTA(D573:F573, H573:N573)&gt;0, C573=""""),                  
  AND(COUNTA(C573, H573:N573)&gt;0, D573=""""), LEN("&amp;"H573)&gt;50, AND(I573&lt;&gt;"""", NOT(ISNUMBER(I573))), AND(ISNUMBER(I573), OR(I573&lt;0, I573&gt;99998)), AND(L573&lt;&gt;"""", NOT(REGEXMATCH(L573&amp;"""", ""^\d{8,14}$"")))), ""Erro"", """")"),"")</f>
      </c>
    </row>
    <row r="574" ht="15.75" customHeight="true">
      <c r="A574" s="33"/>
      <c r="B574" s="34" t="str">
        <f t="shared" si="1"/>
      </c>
      <c r="C574" s="35"/>
      <c r="D574" s="36"/>
      <c r="E574" s="37"/>
      <c r="F574" s="38"/>
      <c r="G574" s="39" t="str">
        <f t="shared" si="2"/>
      </c>
      <c r="H574" s="40"/>
      <c r="I574" s="41"/>
      <c r="J574" s="41"/>
      <c r="K574" s="41"/>
      <c r="L574" s="42"/>
      <c r="M574" s="43"/>
      <c r="N574" s="44"/>
      <c r="O574" s="45"/>
      <c r="P574" s="46" t="str">
        <f>IFERROR(__xludf.DUMMYFUNCTION("IF(OR(AND(C574&lt;&gt;"""", LEN(C574)&lt;3), LEN(C574)&gt;60, AND(D574&lt;&gt;"""", NOT(ISNUMBER(D574))), AND(ISNUMBER(D574), OR(D574&lt;0.01, D574&gt;999999999)), AND(COUNTA(D574:F574, H574:N574)&gt;0, C574=""""),                  
  AND(COUNTA(C574, H574:N574)&gt;0, D574=""""), LEN("&amp;"H574)&gt;50, AND(I574&lt;&gt;"""", NOT(ISNUMBER(I574))), AND(ISNUMBER(I574), OR(I574&lt;0, I574&gt;99998)), AND(L574&lt;&gt;"""", NOT(REGEXMATCH(L574&amp;"""", ""^\d{8,14}$"")))), ""Erro"", """")"),"")</f>
      </c>
    </row>
    <row r="575" ht="15.75" customHeight="true">
      <c r="A575" s="33"/>
      <c r="B575" s="34" t="str">
        <f t="shared" si="1"/>
      </c>
      <c r="C575" s="35"/>
      <c r="D575" s="36"/>
      <c r="E575" s="37"/>
      <c r="F575" s="38"/>
      <c r="G575" s="39" t="str">
        <f t="shared" si="2"/>
      </c>
      <c r="H575" s="40"/>
      <c r="I575" s="41"/>
      <c r="J575" s="41"/>
      <c r="K575" s="41"/>
      <c r="L575" s="42"/>
      <c r="M575" s="43"/>
      <c r="N575" s="44"/>
      <c r="O575" s="45"/>
      <c r="P575" s="46" t="str">
        <f>IFERROR(__xludf.DUMMYFUNCTION("IF(OR(AND(C575&lt;&gt;"""", LEN(C575)&lt;3), LEN(C575)&gt;60, AND(D575&lt;&gt;"""", NOT(ISNUMBER(D575))), AND(ISNUMBER(D575), OR(D575&lt;0.01, D575&gt;999999999)), AND(COUNTA(D575:F575, H575:N575)&gt;0, C575=""""),                  
  AND(COUNTA(C575, H575:N575)&gt;0, D575=""""), LEN("&amp;"H575)&gt;50, AND(I575&lt;&gt;"""", NOT(ISNUMBER(I575))), AND(ISNUMBER(I575), OR(I575&lt;0, I575&gt;99998)), AND(L575&lt;&gt;"""", NOT(REGEXMATCH(L575&amp;"""", ""^\d{8,14}$"")))), ""Erro"", """")"),"")</f>
      </c>
    </row>
    <row r="576" ht="15.75" customHeight="true">
      <c r="A576" s="33"/>
      <c r="B576" s="34" t="str">
        <f t="shared" si="1"/>
      </c>
      <c r="C576" s="35"/>
      <c r="D576" s="36"/>
      <c r="E576" s="37"/>
      <c r="F576" s="38"/>
      <c r="G576" s="39" t="str">
        <f t="shared" si="2"/>
      </c>
      <c r="H576" s="40"/>
      <c r="I576" s="41"/>
      <c r="J576" s="41"/>
      <c r="K576" s="41"/>
      <c r="L576" s="42"/>
      <c r="M576" s="43"/>
      <c r="N576" s="44"/>
      <c r="O576" s="45"/>
      <c r="P576" s="46" t="str">
        <f>IFERROR(__xludf.DUMMYFUNCTION("IF(OR(AND(C576&lt;&gt;"""", LEN(C576)&lt;3), LEN(C576)&gt;60, AND(D576&lt;&gt;"""", NOT(ISNUMBER(D576))), AND(ISNUMBER(D576), OR(D576&lt;0.01, D576&gt;999999999)), AND(COUNTA(D576:F576, H576:N576)&gt;0, C576=""""),                  
  AND(COUNTA(C576, H576:N576)&gt;0, D576=""""), LEN("&amp;"H576)&gt;50, AND(I576&lt;&gt;"""", NOT(ISNUMBER(I576))), AND(ISNUMBER(I576), OR(I576&lt;0, I576&gt;99998)), AND(L576&lt;&gt;"""", NOT(REGEXMATCH(L576&amp;"""", ""^\d{8,14}$"")))), ""Erro"", """")"),"")</f>
      </c>
    </row>
    <row r="577" ht="15.75" customHeight="true">
      <c r="A577" s="33"/>
      <c r="B577" s="34" t="str">
        <f t="shared" si="1"/>
      </c>
      <c r="C577" s="35"/>
      <c r="D577" s="36"/>
      <c r="E577" s="37"/>
      <c r="F577" s="38"/>
      <c r="G577" s="39" t="str">
        <f t="shared" si="2"/>
      </c>
      <c r="H577" s="40"/>
      <c r="I577" s="41"/>
      <c r="J577" s="41"/>
      <c r="K577" s="41"/>
      <c r="L577" s="42"/>
      <c r="M577" s="43"/>
      <c r="N577" s="44"/>
      <c r="O577" s="45"/>
      <c r="P577" s="46" t="str">
        <f>IFERROR(__xludf.DUMMYFUNCTION("IF(OR(AND(C577&lt;&gt;"""", LEN(C577)&lt;3), LEN(C577)&gt;60, AND(D577&lt;&gt;"""", NOT(ISNUMBER(D577))), AND(ISNUMBER(D577), OR(D577&lt;0.01, D577&gt;999999999)), AND(COUNTA(D577:F577, H577:N577)&gt;0, C577=""""),                  
  AND(COUNTA(C577, H577:N577)&gt;0, D577=""""), LEN("&amp;"H577)&gt;50, AND(I577&lt;&gt;"""", NOT(ISNUMBER(I577))), AND(ISNUMBER(I577), OR(I577&lt;0, I577&gt;99998)), AND(L577&lt;&gt;"""", NOT(REGEXMATCH(L577&amp;"""", ""^\d{8,14}$"")))), ""Erro"", """")"),"")</f>
      </c>
    </row>
    <row r="578" ht="15.75" customHeight="true">
      <c r="A578" s="33"/>
      <c r="B578" s="34" t="str">
        <f t="shared" si="1"/>
      </c>
      <c r="C578" s="35"/>
      <c r="D578" s="36"/>
      <c r="E578" s="37"/>
      <c r="F578" s="38"/>
      <c r="G578" s="39" t="str">
        <f t="shared" si="2"/>
      </c>
      <c r="H578" s="40"/>
      <c r="I578" s="41"/>
      <c r="J578" s="41"/>
      <c r="K578" s="41"/>
      <c r="L578" s="42"/>
      <c r="M578" s="43"/>
      <c r="N578" s="44"/>
      <c r="O578" s="45"/>
      <c r="P578" s="46" t="str">
        <f>IFERROR(__xludf.DUMMYFUNCTION("IF(OR(AND(C578&lt;&gt;"""", LEN(C578)&lt;3), LEN(C578)&gt;60, AND(D578&lt;&gt;"""", NOT(ISNUMBER(D578))), AND(ISNUMBER(D578), OR(D578&lt;0.01, D578&gt;999999999)), AND(COUNTA(D578:F578, H578:N578)&gt;0, C578=""""),                  
  AND(COUNTA(C578, H578:N578)&gt;0, D578=""""), LEN("&amp;"H578)&gt;50, AND(I578&lt;&gt;"""", NOT(ISNUMBER(I578))), AND(ISNUMBER(I578), OR(I578&lt;0, I578&gt;99998)), AND(L578&lt;&gt;"""", NOT(REGEXMATCH(L578&amp;"""", ""^\d{8,14}$"")))), ""Erro"", """")"),"")</f>
      </c>
    </row>
    <row r="579" ht="15.75" customHeight="true">
      <c r="A579" s="33"/>
      <c r="B579" s="34" t="str">
        <f t="shared" si="1"/>
      </c>
      <c r="C579" s="35"/>
      <c r="D579" s="36"/>
      <c r="E579" s="37"/>
      <c r="F579" s="38"/>
      <c r="G579" s="39" t="str">
        <f t="shared" si="2"/>
      </c>
      <c r="H579" s="40"/>
      <c r="I579" s="41"/>
      <c r="J579" s="41"/>
      <c r="K579" s="41"/>
      <c r="L579" s="42"/>
      <c r="M579" s="43"/>
      <c r="N579" s="44"/>
      <c r="O579" s="45"/>
      <c r="P579" s="46" t="str">
        <f>IFERROR(__xludf.DUMMYFUNCTION("IF(OR(AND(C579&lt;&gt;"""", LEN(C579)&lt;3), LEN(C579)&gt;60, AND(D579&lt;&gt;"""", NOT(ISNUMBER(D579))), AND(ISNUMBER(D579), OR(D579&lt;0.01, D579&gt;999999999)), AND(COUNTA(D579:F579, H579:N579)&gt;0, C579=""""),                  
  AND(COUNTA(C579, H579:N579)&gt;0, D579=""""), LEN("&amp;"H579)&gt;50, AND(I579&lt;&gt;"""", NOT(ISNUMBER(I579))), AND(ISNUMBER(I579), OR(I579&lt;0, I579&gt;99998)), AND(L579&lt;&gt;"""", NOT(REGEXMATCH(L579&amp;"""", ""^\d{8,14}$"")))), ""Erro"", """")"),"")</f>
      </c>
    </row>
    <row r="580" ht="15.75" customHeight="true">
      <c r="A580" s="33"/>
      <c r="B580" s="34" t="str">
        <f t="shared" si="1"/>
      </c>
      <c r="C580" s="35"/>
      <c r="D580" s="36"/>
      <c r="E580" s="37"/>
      <c r="F580" s="38"/>
      <c r="G580" s="39" t="str">
        <f t="shared" si="2"/>
      </c>
      <c r="H580" s="40"/>
      <c r="I580" s="41"/>
      <c r="J580" s="41"/>
      <c r="K580" s="41"/>
      <c r="L580" s="42"/>
      <c r="M580" s="43"/>
      <c r="N580" s="44"/>
      <c r="O580" s="45"/>
      <c r="P580" s="46" t="str">
        <f>IFERROR(__xludf.DUMMYFUNCTION("IF(OR(AND(C580&lt;&gt;"""", LEN(C580)&lt;3), LEN(C580)&gt;60, AND(D580&lt;&gt;"""", NOT(ISNUMBER(D580))), AND(ISNUMBER(D580), OR(D580&lt;0.01, D580&gt;999999999)), AND(COUNTA(D580:F580, H580:N580)&gt;0, C580=""""),                  
  AND(COUNTA(C580, H580:N580)&gt;0, D580=""""), LEN("&amp;"H580)&gt;50, AND(I580&lt;&gt;"""", NOT(ISNUMBER(I580))), AND(ISNUMBER(I580), OR(I580&lt;0, I580&gt;99998)), AND(L580&lt;&gt;"""", NOT(REGEXMATCH(L580&amp;"""", ""^\d{8,14}$"")))), ""Erro"", """")"),"")</f>
      </c>
    </row>
    <row r="581" ht="15.75" customHeight="true">
      <c r="A581" s="33"/>
      <c r="B581" s="34" t="str">
        <f t="shared" si="1"/>
      </c>
      <c r="C581" s="35"/>
      <c r="D581" s="36"/>
      <c r="E581" s="37"/>
      <c r="F581" s="38"/>
      <c r="G581" s="39" t="str">
        <f t="shared" si="2"/>
      </c>
      <c r="H581" s="40"/>
      <c r="I581" s="41"/>
      <c r="J581" s="41"/>
      <c r="K581" s="41"/>
      <c r="L581" s="42"/>
      <c r="M581" s="43"/>
      <c r="N581" s="44"/>
      <c r="O581" s="45"/>
      <c r="P581" s="46" t="str">
        <f>IFERROR(__xludf.DUMMYFUNCTION("IF(OR(AND(C581&lt;&gt;"""", LEN(C581)&lt;3), LEN(C581)&gt;60, AND(D581&lt;&gt;"""", NOT(ISNUMBER(D581))), AND(ISNUMBER(D581), OR(D581&lt;0.01, D581&gt;999999999)), AND(COUNTA(D581:F581, H581:N581)&gt;0, C581=""""),                  
  AND(COUNTA(C581, H581:N581)&gt;0, D581=""""), LEN("&amp;"H581)&gt;50, AND(I581&lt;&gt;"""", NOT(ISNUMBER(I581))), AND(ISNUMBER(I581), OR(I581&lt;0, I581&gt;99998)), AND(L581&lt;&gt;"""", NOT(REGEXMATCH(L581&amp;"""", ""^\d{8,14}$"")))), ""Erro"", """")"),"")</f>
      </c>
    </row>
    <row r="582" ht="15.75" customHeight="true">
      <c r="A582" s="33"/>
      <c r="B582" s="34" t="str">
        <f t="shared" si="1"/>
      </c>
      <c r="C582" s="35"/>
      <c r="D582" s="36"/>
      <c r="E582" s="37"/>
      <c r="F582" s="38"/>
      <c r="G582" s="39" t="str">
        <f t="shared" si="2"/>
      </c>
      <c r="H582" s="40"/>
      <c r="I582" s="41"/>
      <c r="J582" s="41"/>
      <c r="K582" s="41"/>
      <c r="L582" s="42"/>
      <c r="M582" s="43"/>
      <c r="N582" s="44"/>
      <c r="O582" s="45"/>
      <c r="P582" s="46" t="str">
        <f>IFERROR(__xludf.DUMMYFUNCTION("IF(OR(AND(C582&lt;&gt;"""", LEN(C582)&lt;3), LEN(C582)&gt;60, AND(D582&lt;&gt;"""", NOT(ISNUMBER(D582))), AND(ISNUMBER(D582), OR(D582&lt;0.01, D582&gt;999999999)), AND(COUNTA(D582:F582, H582:N582)&gt;0, C582=""""),                  
  AND(COUNTA(C582, H582:N582)&gt;0, D582=""""), LEN("&amp;"H582)&gt;50, AND(I582&lt;&gt;"""", NOT(ISNUMBER(I582))), AND(ISNUMBER(I582), OR(I582&lt;0, I582&gt;99998)), AND(L582&lt;&gt;"""", NOT(REGEXMATCH(L582&amp;"""", ""^\d{8,14}$"")))), ""Erro"", """")"),"")</f>
      </c>
    </row>
    <row r="583" ht="15.75" customHeight="true">
      <c r="A583" s="33"/>
      <c r="B583" s="34" t="str">
        <f t="shared" si="1"/>
      </c>
      <c r="C583" s="35"/>
      <c r="D583" s="36"/>
      <c r="E583" s="37"/>
      <c r="F583" s="38"/>
      <c r="G583" s="39" t="str">
        <f t="shared" si="2"/>
      </c>
      <c r="H583" s="40"/>
      <c r="I583" s="41"/>
      <c r="J583" s="41"/>
      <c r="K583" s="41"/>
      <c r="L583" s="42"/>
      <c r="M583" s="43"/>
      <c r="N583" s="44"/>
      <c r="O583" s="45"/>
      <c r="P583" s="46" t="str">
        <f>IFERROR(__xludf.DUMMYFUNCTION("IF(OR(AND(C583&lt;&gt;"""", LEN(C583)&lt;3), LEN(C583)&gt;60, AND(D583&lt;&gt;"""", NOT(ISNUMBER(D583))), AND(ISNUMBER(D583), OR(D583&lt;0.01, D583&gt;999999999)), AND(COUNTA(D583:F583, H583:N583)&gt;0, C583=""""),                  
  AND(COUNTA(C583, H583:N583)&gt;0, D583=""""), LEN("&amp;"H583)&gt;50, AND(I583&lt;&gt;"""", NOT(ISNUMBER(I583))), AND(ISNUMBER(I583), OR(I583&lt;0, I583&gt;99998)), AND(L583&lt;&gt;"""", NOT(REGEXMATCH(L583&amp;"""", ""^\d{8,14}$"")))), ""Erro"", """")"),"")</f>
      </c>
    </row>
    <row r="584" ht="15.75" customHeight="true">
      <c r="A584" s="33"/>
      <c r="B584" s="34" t="str">
        <f t="shared" si="1"/>
      </c>
      <c r="C584" s="35"/>
      <c r="D584" s="36"/>
      <c r="E584" s="37"/>
      <c r="F584" s="38"/>
      <c r="G584" s="39" t="str">
        <f t="shared" si="2"/>
      </c>
      <c r="H584" s="40"/>
      <c r="I584" s="41"/>
      <c r="J584" s="41"/>
      <c r="K584" s="41"/>
      <c r="L584" s="42"/>
      <c r="M584" s="43"/>
      <c r="N584" s="44"/>
      <c r="O584" s="45"/>
      <c r="P584" s="46" t="str">
        <f>IFERROR(__xludf.DUMMYFUNCTION("IF(OR(AND(C584&lt;&gt;"""", LEN(C584)&lt;3), LEN(C584)&gt;60, AND(D584&lt;&gt;"""", NOT(ISNUMBER(D584))), AND(ISNUMBER(D584), OR(D584&lt;0.01, D584&gt;999999999)), AND(COUNTA(D584:F584, H584:N584)&gt;0, C584=""""),                  
  AND(COUNTA(C584, H584:N584)&gt;0, D584=""""), LEN("&amp;"H584)&gt;50, AND(I584&lt;&gt;"""", NOT(ISNUMBER(I584))), AND(ISNUMBER(I584), OR(I584&lt;0, I584&gt;99998)), AND(L584&lt;&gt;"""", NOT(REGEXMATCH(L584&amp;"""", ""^\d{8,14}$"")))), ""Erro"", """")"),"")</f>
      </c>
    </row>
    <row r="585" ht="15.75" customHeight="true">
      <c r="A585" s="33"/>
      <c r="B585" s="34" t="str">
        <f t="shared" si="1"/>
      </c>
      <c r="C585" s="35"/>
      <c r="D585" s="36"/>
      <c r="E585" s="37"/>
      <c r="F585" s="38"/>
      <c r="G585" s="39" t="str">
        <f t="shared" si="2"/>
      </c>
      <c r="H585" s="40"/>
      <c r="I585" s="41"/>
      <c r="J585" s="41"/>
      <c r="K585" s="41"/>
      <c r="L585" s="42"/>
      <c r="M585" s="43"/>
      <c r="N585" s="44"/>
      <c r="O585" s="45"/>
      <c r="P585" s="46" t="str">
        <f>IFERROR(__xludf.DUMMYFUNCTION("IF(OR(AND(C585&lt;&gt;"""", LEN(C585)&lt;3), LEN(C585)&gt;60, AND(D585&lt;&gt;"""", NOT(ISNUMBER(D585))), AND(ISNUMBER(D585), OR(D585&lt;0.01, D585&gt;999999999)), AND(COUNTA(D585:F585, H585:N585)&gt;0, C585=""""),                  
  AND(COUNTA(C585, H585:N585)&gt;0, D585=""""), LEN("&amp;"H585)&gt;50, AND(I585&lt;&gt;"""", NOT(ISNUMBER(I585))), AND(ISNUMBER(I585), OR(I585&lt;0, I585&gt;99998)), AND(L585&lt;&gt;"""", NOT(REGEXMATCH(L585&amp;"""", ""^\d{8,14}$"")))), ""Erro"", """")"),"")</f>
      </c>
    </row>
    <row r="586" ht="15.75" customHeight="true">
      <c r="A586" s="33"/>
      <c r="B586" s="34" t="str">
        <f t="shared" si="1"/>
      </c>
      <c r="C586" s="35"/>
      <c r="D586" s="36"/>
      <c r="E586" s="37"/>
      <c r="F586" s="38"/>
      <c r="G586" s="39" t="str">
        <f t="shared" si="2"/>
      </c>
      <c r="H586" s="40"/>
      <c r="I586" s="41"/>
      <c r="J586" s="41"/>
      <c r="K586" s="41"/>
      <c r="L586" s="42"/>
      <c r="M586" s="43"/>
      <c r="N586" s="44"/>
      <c r="O586" s="45"/>
      <c r="P586" s="46" t="str">
        <f>IFERROR(__xludf.DUMMYFUNCTION("IF(OR(AND(C586&lt;&gt;"""", LEN(C586)&lt;3), LEN(C586)&gt;60, AND(D586&lt;&gt;"""", NOT(ISNUMBER(D586))), AND(ISNUMBER(D586), OR(D586&lt;0.01, D586&gt;999999999)), AND(COUNTA(D586:F586, H586:N586)&gt;0, C586=""""),                  
  AND(COUNTA(C586, H586:N586)&gt;0, D586=""""), LEN("&amp;"H586)&gt;50, AND(I586&lt;&gt;"""", NOT(ISNUMBER(I586))), AND(ISNUMBER(I586), OR(I586&lt;0, I586&gt;99998)), AND(L586&lt;&gt;"""", NOT(REGEXMATCH(L586&amp;"""", ""^\d{8,14}$"")))), ""Erro"", """")"),"")</f>
      </c>
    </row>
    <row r="587" ht="15.75" customHeight="true">
      <c r="A587" s="33"/>
      <c r="B587" s="34" t="str">
        <f t="shared" si="1"/>
      </c>
      <c r="C587" s="35"/>
      <c r="D587" s="36"/>
      <c r="E587" s="37"/>
      <c r="F587" s="38"/>
      <c r="G587" s="39" t="str">
        <f t="shared" si="2"/>
      </c>
      <c r="H587" s="40"/>
      <c r="I587" s="41"/>
      <c r="J587" s="41"/>
      <c r="K587" s="41"/>
      <c r="L587" s="42"/>
      <c r="M587" s="43"/>
      <c r="N587" s="44"/>
      <c r="O587" s="45"/>
      <c r="P587" s="46" t="str">
        <f>IFERROR(__xludf.DUMMYFUNCTION("IF(OR(AND(C587&lt;&gt;"""", LEN(C587)&lt;3), LEN(C587)&gt;60, AND(D587&lt;&gt;"""", NOT(ISNUMBER(D587))), AND(ISNUMBER(D587), OR(D587&lt;0.01, D587&gt;999999999)), AND(COUNTA(D587:F587, H587:N587)&gt;0, C587=""""),                  
  AND(COUNTA(C587, H587:N587)&gt;0, D587=""""), LEN("&amp;"H587)&gt;50, AND(I587&lt;&gt;"""", NOT(ISNUMBER(I587))), AND(ISNUMBER(I587), OR(I587&lt;0, I587&gt;99998)), AND(L587&lt;&gt;"""", NOT(REGEXMATCH(L587&amp;"""", ""^\d{8,14}$"")))), ""Erro"", """")"),"")</f>
      </c>
    </row>
    <row r="588" ht="15.75" customHeight="true">
      <c r="A588" s="33"/>
      <c r="B588" s="34" t="str">
        <f t="shared" si="1"/>
      </c>
      <c r="C588" s="35"/>
      <c r="D588" s="36"/>
      <c r="E588" s="37"/>
      <c r="F588" s="38"/>
      <c r="G588" s="39" t="str">
        <f t="shared" si="2"/>
      </c>
      <c r="H588" s="40"/>
      <c r="I588" s="41"/>
      <c r="J588" s="41"/>
      <c r="K588" s="41"/>
      <c r="L588" s="42"/>
      <c r="M588" s="43"/>
      <c r="N588" s="44"/>
      <c r="O588" s="45"/>
      <c r="P588" s="46" t="str">
        <f>IFERROR(__xludf.DUMMYFUNCTION("IF(OR(AND(C588&lt;&gt;"""", LEN(C588)&lt;3), LEN(C588)&gt;60, AND(D588&lt;&gt;"""", NOT(ISNUMBER(D588))), AND(ISNUMBER(D588), OR(D588&lt;0.01, D588&gt;999999999)), AND(COUNTA(D588:F588, H588:N588)&gt;0, C588=""""),                  
  AND(COUNTA(C588, H588:N588)&gt;0, D588=""""), LEN("&amp;"H588)&gt;50, AND(I588&lt;&gt;"""", NOT(ISNUMBER(I588))), AND(ISNUMBER(I588), OR(I588&lt;0, I588&gt;99998)), AND(L588&lt;&gt;"""", NOT(REGEXMATCH(L588&amp;"""", ""^\d{8,14}$"")))), ""Erro"", """")"),"")</f>
      </c>
    </row>
    <row r="589" ht="15.75" customHeight="true">
      <c r="A589" s="33"/>
      <c r="B589" s="34" t="str">
        <f t="shared" si="1"/>
      </c>
      <c r="C589" s="35"/>
      <c r="D589" s="36"/>
      <c r="E589" s="37"/>
      <c r="F589" s="38"/>
      <c r="G589" s="39" t="str">
        <f t="shared" si="2"/>
      </c>
      <c r="H589" s="40"/>
      <c r="I589" s="41"/>
      <c r="J589" s="41"/>
      <c r="K589" s="41"/>
      <c r="L589" s="42"/>
      <c r="M589" s="43"/>
      <c r="N589" s="44"/>
      <c r="O589" s="45"/>
      <c r="P589" s="46" t="str">
        <f>IFERROR(__xludf.DUMMYFUNCTION("IF(OR(AND(C589&lt;&gt;"""", LEN(C589)&lt;3), LEN(C589)&gt;60, AND(D589&lt;&gt;"""", NOT(ISNUMBER(D589))), AND(ISNUMBER(D589), OR(D589&lt;0.01, D589&gt;999999999)), AND(COUNTA(D589:F589, H589:N589)&gt;0, C589=""""),                  
  AND(COUNTA(C589, H589:N589)&gt;0, D589=""""), LEN("&amp;"H589)&gt;50, AND(I589&lt;&gt;"""", NOT(ISNUMBER(I589))), AND(ISNUMBER(I589), OR(I589&lt;0, I589&gt;99998)), AND(L589&lt;&gt;"""", NOT(REGEXMATCH(L589&amp;"""", ""^\d{8,14}$"")))), ""Erro"", """")"),"")</f>
      </c>
    </row>
    <row r="590" ht="15.75" customHeight="true">
      <c r="A590" s="33"/>
      <c r="B590" s="34" t="str">
        <f t="shared" si="1"/>
      </c>
      <c r="C590" s="35"/>
      <c r="D590" s="36"/>
      <c r="E590" s="37"/>
      <c r="F590" s="38"/>
      <c r="G590" s="39" t="str">
        <f t="shared" si="2"/>
      </c>
      <c r="H590" s="40"/>
      <c r="I590" s="41"/>
      <c r="J590" s="41"/>
      <c r="K590" s="41"/>
      <c r="L590" s="42"/>
      <c r="M590" s="43"/>
      <c r="N590" s="44"/>
      <c r="O590" s="45"/>
      <c r="P590" s="46" t="str">
        <f>IFERROR(__xludf.DUMMYFUNCTION("IF(OR(AND(C590&lt;&gt;"""", LEN(C590)&lt;3), LEN(C590)&gt;60, AND(D590&lt;&gt;"""", NOT(ISNUMBER(D590))), AND(ISNUMBER(D590), OR(D590&lt;0.01, D590&gt;999999999)), AND(COUNTA(D590:F590, H590:N590)&gt;0, C590=""""),                  
  AND(COUNTA(C590, H590:N590)&gt;0, D590=""""), LEN("&amp;"H590)&gt;50, AND(I590&lt;&gt;"""", NOT(ISNUMBER(I590))), AND(ISNUMBER(I590), OR(I590&lt;0, I590&gt;99998)), AND(L590&lt;&gt;"""", NOT(REGEXMATCH(L590&amp;"""", ""^\d{8,14}$"")))), ""Erro"", """")"),"")</f>
      </c>
    </row>
    <row r="591" ht="15.75" customHeight="true">
      <c r="A591" s="33"/>
      <c r="B591" s="34" t="str">
        <f t="shared" si="1"/>
      </c>
      <c r="C591" s="35"/>
      <c r="D591" s="36"/>
      <c r="E591" s="37"/>
      <c r="F591" s="38"/>
      <c r="G591" s="39" t="str">
        <f t="shared" si="2"/>
      </c>
      <c r="H591" s="40"/>
      <c r="I591" s="41"/>
      <c r="J591" s="41"/>
      <c r="K591" s="41"/>
      <c r="L591" s="42"/>
      <c r="M591" s="43"/>
      <c r="N591" s="44"/>
      <c r="O591" s="45"/>
      <c r="P591" s="46" t="str">
        <f>IFERROR(__xludf.DUMMYFUNCTION("IF(OR(AND(C591&lt;&gt;"""", LEN(C591)&lt;3), LEN(C591)&gt;60, AND(D591&lt;&gt;"""", NOT(ISNUMBER(D591))), AND(ISNUMBER(D591), OR(D591&lt;0.01, D591&gt;999999999)), AND(COUNTA(D591:F591, H591:N591)&gt;0, C591=""""),                  
  AND(COUNTA(C591, H591:N591)&gt;0, D591=""""), LEN("&amp;"H591)&gt;50, AND(I591&lt;&gt;"""", NOT(ISNUMBER(I591))), AND(ISNUMBER(I591), OR(I591&lt;0, I591&gt;99998)), AND(L591&lt;&gt;"""", NOT(REGEXMATCH(L591&amp;"""", ""^\d{8,14}$"")))), ""Erro"", """")"),"")</f>
      </c>
    </row>
    <row r="592" ht="15.75" customHeight="true">
      <c r="A592" s="33"/>
      <c r="B592" s="34" t="str">
        <f t="shared" si="1"/>
      </c>
      <c r="C592" s="35"/>
      <c r="D592" s="36"/>
      <c r="E592" s="37"/>
      <c r="F592" s="38"/>
      <c r="G592" s="39" t="str">
        <f t="shared" si="2"/>
      </c>
      <c r="H592" s="40"/>
      <c r="I592" s="41"/>
      <c r="J592" s="41"/>
      <c r="K592" s="41"/>
      <c r="L592" s="42"/>
      <c r="M592" s="43"/>
      <c r="N592" s="44"/>
      <c r="O592" s="45"/>
      <c r="P592" s="46" t="str">
        <f>IFERROR(__xludf.DUMMYFUNCTION("IF(OR(AND(C592&lt;&gt;"""", LEN(C592)&lt;3), LEN(C592)&gt;60, AND(D592&lt;&gt;"""", NOT(ISNUMBER(D592))), AND(ISNUMBER(D592), OR(D592&lt;0.01, D592&gt;999999999)), AND(COUNTA(D592:F592, H592:N592)&gt;0, C592=""""),                  
  AND(COUNTA(C592, H592:N592)&gt;0, D592=""""), LEN("&amp;"H592)&gt;50, AND(I592&lt;&gt;"""", NOT(ISNUMBER(I592))), AND(ISNUMBER(I592), OR(I592&lt;0, I592&gt;99998)), AND(L592&lt;&gt;"""", NOT(REGEXMATCH(L592&amp;"""", ""^\d{8,14}$"")))), ""Erro"", """")"),"")</f>
      </c>
    </row>
    <row r="593" ht="15.75" customHeight="true">
      <c r="A593" s="33"/>
      <c r="B593" s="34" t="str">
        <f t="shared" si="1"/>
      </c>
      <c r="C593" s="35"/>
      <c r="D593" s="36"/>
      <c r="E593" s="37"/>
      <c r="F593" s="38"/>
      <c r="G593" s="39" t="str">
        <f t="shared" si="2"/>
      </c>
      <c r="H593" s="40"/>
      <c r="I593" s="41"/>
      <c r="J593" s="41"/>
      <c r="K593" s="41"/>
      <c r="L593" s="42"/>
      <c r="M593" s="43"/>
      <c r="N593" s="44"/>
      <c r="O593" s="45"/>
      <c r="P593" s="46" t="str">
        <f>IFERROR(__xludf.DUMMYFUNCTION("IF(OR(AND(C593&lt;&gt;"""", LEN(C593)&lt;3), LEN(C593)&gt;60, AND(D593&lt;&gt;"""", NOT(ISNUMBER(D593))), AND(ISNUMBER(D593), OR(D593&lt;0.01, D593&gt;999999999)), AND(COUNTA(D593:F593, H593:N593)&gt;0, C593=""""),                  
  AND(COUNTA(C593, H593:N593)&gt;0, D593=""""), LEN("&amp;"H593)&gt;50, AND(I593&lt;&gt;"""", NOT(ISNUMBER(I593))), AND(ISNUMBER(I593), OR(I593&lt;0, I593&gt;99998)), AND(L593&lt;&gt;"""", NOT(REGEXMATCH(L593&amp;"""", ""^\d{8,14}$"")))), ""Erro"", """")"),"")</f>
      </c>
    </row>
    <row r="594" ht="15.75" customHeight="true">
      <c r="A594" s="33"/>
      <c r="B594" s="34" t="str">
        <f t="shared" si="1"/>
      </c>
      <c r="C594" s="35"/>
      <c r="D594" s="36"/>
      <c r="E594" s="37"/>
      <c r="F594" s="38"/>
      <c r="G594" s="39" t="str">
        <f t="shared" si="2"/>
      </c>
      <c r="H594" s="40"/>
      <c r="I594" s="41"/>
      <c r="J594" s="41"/>
      <c r="K594" s="41"/>
      <c r="L594" s="42"/>
      <c r="M594" s="43"/>
      <c r="N594" s="44"/>
      <c r="O594" s="45"/>
      <c r="P594" s="46" t="str">
        <f>IFERROR(__xludf.DUMMYFUNCTION("IF(OR(AND(C594&lt;&gt;"""", LEN(C594)&lt;3), LEN(C594)&gt;60, AND(D594&lt;&gt;"""", NOT(ISNUMBER(D594))), AND(ISNUMBER(D594), OR(D594&lt;0.01, D594&gt;999999999)), AND(COUNTA(D594:F594, H594:N594)&gt;0, C594=""""),                  
  AND(COUNTA(C594, H594:N594)&gt;0, D594=""""), LEN("&amp;"H594)&gt;50, AND(I594&lt;&gt;"""", NOT(ISNUMBER(I594))), AND(ISNUMBER(I594), OR(I594&lt;0, I594&gt;99998)), AND(L594&lt;&gt;"""", NOT(REGEXMATCH(L594&amp;"""", ""^\d{8,14}$"")))), ""Erro"", """")"),"")</f>
      </c>
    </row>
    <row r="595" ht="15.75" customHeight="true">
      <c r="A595" s="33"/>
      <c r="B595" s="34" t="str">
        <f t="shared" si="1"/>
      </c>
      <c r="C595" s="35"/>
      <c r="D595" s="36"/>
      <c r="E595" s="37"/>
      <c r="F595" s="38"/>
      <c r="G595" s="39" t="str">
        <f t="shared" si="2"/>
      </c>
      <c r="H595" s="40"/>
      <c r="I595" s="41"/>
      <c r="J595" s="41"/>
      <c r="K595" s="41"/>
      <c r="L595" s="42"/>
      <c r="M595" s="43"/>
      <c r="N595" s="44"/>
      <c r="O595" s="45"/>
      <c r="P595" s="46" t="str">
        <f>IFERROR(__xludf.DUMMYFUNCTION("IF(OR(AND(C595&lt;&gt;"""", LEN(C595)&lt;3), LEN(C595)&gt;60, AND(D595&lt;&gt;"""", NOT(ISNUMBER(D595))), AND(ISNUMBER(D595), OR(D595&lt;0.01, D595&gt;999999999)), AND(COUNTA(D595:F595, H595:N595)&gt;0, C595=""""),                  
  AND(COUNTA(C595, H595:N595)&gt;0, D595=""""), LEN("&amp;"H595)&gt;50, AND(I595&lt;&gt;"""", NOT(ISNUMBER(I595))), AND(ISNUMBER(I595), OR(I595&lt;0, I595&gt;99998)), AND(L595&lt;&gt;"""", NOT(REGEXMATCH(L595&amp;"""", ""^\d{8,14}$"")))), ""Erro"", """")"),"")</f>
      </c>
    </row>
    <row r="596" ht="15.75" customHeight="true">
      <c r="A596" s="33"/>
      <c r="B596" s="34" t="str">
        <f t="shared" si="1"/>
      </c>
      <c r="C596" s="35"/>
      <c r="D596" s="36"/>
      <c r="E596" s="37"/>
      <c r="F596" s="38"/>
      <c r="G596" s="39" t="str">
        <f t="shared" si="2"/>
      </c>
      <c r="H596" s="40"/>
      <c r="I596" s="41"/>
      <c r="J596" s="41"/>
      <c r="K596" s="41"/>
      <c r="L596" s="42"/>
      <c r="M596" s="43"/>
      <c r="N596" s="44"/>
      <c r="O596" s="45"/>
      <c r="P596" s="46" t="str">
        <f>IFERROR(__xludf.DUMMYFUNCTION("IF(OR(AND(C596&lt;&gt;"""", LEN(C596)&lt;3), LEN(C596)&gt;60, AND(D596&lt;&gt;"""", NOT(ISNUMBER(D596))), AND(ISNUMBER(D596), OR(D596&lt;0.01, D596&gt;999999999)), AND(COUNTA(D596:F596, H596:N596)&gt;0, C596=""""),                  
  AND(COUNTA(C596, H596:N596)&gt;0, D596=""""), LEN("&amp;"H596)&gt;50, AND(I596&lt;&gt;"""", NOT(ISNUMBER(I596))), AND(ISNUMBER(I596), OR(I596&lt;0, I596&gt;99998)), AND(L596&lt;&gt;"""", NOT(REGEXMATCH(L596&amp;"""", ""^\d{8,14}$"")))), ""Erro"", """")"),"")</f>
      </c>
    </row>
    <row r="597" ht="15.75" customHeight="true">
      <c r="A597" s="33"/>
      <c r="B597" s="34" t="str">
        <f t="shared" si="1"/>
      </c>
      <c r="C597" s="35"/>
      <c r="D597" s="36"/>
      <c r="E597" s="37"/>
      <c r="F597" s="38"/>
      <c r="G597" s="39" t="str">
        <f t="shared" si="2"/>
      </c>
      <c r="H597" s="40"/>
      <c r="I597" s="41"/>
      <c r="J597" s="41"/>
      <c r="K597" s="41"/>
      <c r="L597" s="42"/>
      <c r="M597" s="43"/>
      <c r="N597" s="44"/>
      <c r="O597" s="45"/>
      <c r="P597" s="46" t="str">
        <f>IFERROR(__xludf.DUMMYFUNCTION("IF(OR(AND(C597&lt;&gt;"""", LEN(C597)&lt;3), LEN(C597)&gt;60, AND(D597&lt;&gt;"""", NOT(ISNUMBER(D597))), AND(ISNUMBER(D597), OR(D597&lt;0.01, D597&gt;999999999)), AND(COUNTA(D597:F597, H597:N597)&gt;0, C597=""""),                  
  AND(COUNTA(C597, H597:N597)&gt;0, D597=""""), LEN("&amp;"H597)&gt;50, AND(I597&lt;&gt;"""", NOT(ISNUMBER(I597))), AND(ISNUMBER(I597), OR(I597&lt;0, I597&gt;99998)), AND(L597&lt;&gt;"""", NOT(REGEXMATCH(L597&amp;"""", ""^\d{8,14}$"")))), ""Erro"", """")"),"")</f>
      </c>
    </row>
    <row r="598" ht="15.75" customHeight="true">
      <c r="A598" s="33"/>
      <c r="B598" s="34" t="str">
        <f t="shared" si="1"/>
      </c>
      <c r="C598" s="35"/>
      <c r="D598" s="36"/>
      <c r="E598" s="37"/>
      <c r="F598" s="38"/>
      <c r="G598" s="39" t="str">
        <f t="shared" si="2"/>
      </c>
      <c r="H598" s="40"/>
      <c r="I598" s="41"/>
      <c r="J598" s="41"/>
      <c r="K598" s="41"/>
      <c r="L598" s="42"/>
      <c r="M598" s="43"/>
      <c r="N598" s="44"/>
      <c r="O598" s="45"/>
      <c r="P598" s="46" t="str">
        <f>IFERROR(__xludf.DUMMYFUNCTION("IF(OR(AND(C598&lt;&gt;"""", LEN(C598)&lt;3), LEN(C598)&gt;60, AND(D598&lt;&gt;"""", NOT(ISNUMBER(D598))), AND(ISNUMBER(D598), OR(D598&lt;0.01, D598&gt;999999999)), AND(COUNTA(D598:F598, H598:N598)&gt;0, C598=""""),                  
  AND(COUNTA(C598, H598:N598)&gt;0, D598=""""), LEN("&amp;"H598)&gt;50, AND(I598&lt;&gt;"""", NOT(ISNUMBER(I598))), AND(ISNUMBER(I598), OR(I598&lt;0, I598&gt;99998)), AND(L598&lt;&gt;"""", NOT(REGEXMATCH(L598&amp;"""", ""^\d{8,14}$"")))), ""Erro"", """")"),"")</f>
      </c>
    </row>
    <row r="599" ht="15.75" customHeight="true">
      <c r="A599" s="33"/>
      <c r="B599" s="34" t="str">
        <f t="shared" si="1"/>
      </c>
      <c r="C599" s="35"/>
      <c r="D599" s="36"/>
      <c r="E599" s="37"/>
      <c r="F599" s="38"/>
      <c r="G599" s="39" t="str">
        <f t="shared" si="2"/>
      </c>
      <c r="H599" s="40"/>
      <c r="I599" s="41"/>
      <c r="J599" s="41"/>
      <c r="K599" s="41"/>
      <c r="L599" s="42"/>
      <c r="M599" s="43"/>
      <c r="N599" s="44"/>
      <c r="O599" s="45"/>
      <c r="P599" s="46" t="str">
        <f>IFERROR(__xludf.DUMMYFUNCTION("IF(OR(AND(C599&lt;&gt;"""", LEN(C599)&lt;3), LEN(C599)&gt;60, AND(D599&lt;&gt;"""", NOT(ISNUMBER(D599))), AND(ISNUMBER(D599), OR(D599&lt;0.01, D599&gt;999999999)), AND(COUNTA(D599:F599, H599:N599)&gt;0, C599=""""),                  
  AND(COUNTA(C599, H599:N599)&gt;0, D599=""""), LEN("&amp;"H599)&gt;50, AND(I599&lt;&gt;"""", NOT(ISNUMBER(I599))), AND(ISNUMBER(I599), OR(I599&lt;0, I599&gt;99998)), AND(L599&lt;&gt;"""", NOT(REGEXMATCH(L599&amp;"""", ""^\d{8,14}$"")))), ""Erro"", """")"),"")</f>
      </c>
    </row>
    <row r="600" ht="15.75" customHeight="true">
      <c r="A600" s="33"/>
      <c r="B600" s="34" t="str">
        <f t="shared" si="1"/>
      </c>
      <c r="C600" s="35"/>
      <c r="D600" s="36"/>
      <c r="E600" s="37"/>
      <c r="F600" s="38"/>
      <c r="G600" s="39" t="str">
        <f t="shared" si="2"/>
      </c>
      <c r="H600" s="40"/>
      <c r="I600" s="41"/>
      <c r="J600" s="41"/>
      <c r="K600" s="41"/>
      <c r="L600" s="42"/>
      <c r="M600" s="43"/>
      <c r="N600" s="44"/>
      <c r="O600" s="45"/>
      <c r="P600" s="46" t="str">
        <f>IFERROR(__xludf.DUMMYFUNCTION("IF(OR(AND(C600&lt;&gt;"""", LEN(C600)&lt;3), LEN(C600)&gt;60, AND(D600&lt;&gt;"""", NOT(ISNUMBER(D600))), AND(ISNUMBER(D600), OR(D600&lt;0.01, D600&gt;999999999)), AND(COUNTA(D600:F600, H600:N600)&gt;0, C600=""""),                  
  AND(COUNTA(C600, H600:N600)&gt;0, D600=""""), LEN("&amp;"H600)&gt;50, AND(I600&lt;&gt;"""", NOT(ISNUMBER(I600))), AND(ISNUMBER(I600), OR(I600&lt;0, I600&gt;99998)), AND(L600&lt;&gt;"""", NOT(REGEXMATCH(L600&amp;"""", ""^\d{8,14}$"")))), ""Erro"", """")"),"")</f>
      </c>
    </row>
    <row r="601" ht="15.75" customHeight="true">
      <c r="A601" s="33"/>
      <c r="B601" s="34" t="str">
        <f t="shared" si="1"/>
      </c>
      <c r="C601" s="35"/>
      <c r="D601" s="36"/>
      <c r="E601" s="37"/>
      <c r="F601" s="38"/>
      <c r="G601" s="39" t="str">
        <f t="shared" si="2"/>
      </c>
      <c r="H601" s="40"/>
      <c r="I601" s="41"/>
      <c r="J601" s="41"/>
      <c r="K601" s="41"/>
      <c r="L601" s="42"/>
      <c r="M601" s="43"/>
      <c r="N601" s="44"/>
      <c r="O601" s="45"/>
      <c r="P601" s="46" t="str">
        <f>IFERROR(__xludf.DUMMYFUNCTION("IF(OR(AND(C601&lt;&gt;"""", LEN(C601)&lt;3), LEN(C601)&gt;60, AND(D601&lt;&gt;"""", NOT(ISNUMBER(D601))), AND(ISNUMBER(D601), OR(D601&lt;0.01, D601&gt;999999999)), AND(COUNTA(D601:F601, H601:N601)&gt;0, C601=""""),                  
  AND(COUNTA(C601, H601:N601)&gt;0, D601=""""), LEN("&amp;"H601)&gt;50, AND(I601&lt;&gt;"""", NOT(ISNUMBER(I601))), AND(ISNUMBER(I601), OR(I601&lt;0, I601&gt;99998)), AND(L601&lt;&gt;"""", NOT(REGEXMATCH(L601&amp;"""", ""^\d{8,14}$"")))), ""Erro"", """")"),"")</f>
      </c>
    </row>
    <row r="602" ht="15.75" customHeight="true">
      <c r="A602" s="33"/>
      <c r="B602" s="34" t="str">
        <f t="shared" si="1"/>
      </c>
      <c r="C602" s="35"/>
      <c r="D602" s="36"/>
      <c r="E602" s="37"/>
      <c r="F602" s="38"/>
      <c r="G602" s="39" t="str">
        <f t="shared" si="2"/>
      </c>
      <c r="H602" s="40"/>
      <c r="I602" s="41"/>
      <c r="J602" s="41"/>
      <c r="K602" s="41"/>
      <c r="L602" s="42"/>
      <c r="M602" s="43"/>
      <c r="N602" s="44"/>
      <c r="O602" s="45"/>
      <c r="P602" s="46" t="str">
        <f>IFERROR(__xludf.DUMMYFUNCTION("IF(OR(AND(C602&lt;&gt;"""", LEN(C602)&lt;3), LEN(C602)&gt;60, AND(D602&lt;&gt;"""", NOT(ISNUMBER(D602))), AND(ISNUMBER(D602), OR(D602&lt;0.01, D602&gt;999999999)), AND(COUNTA(D602:F602, H602:N602)&gt;0, C602=""""),                  
  AND(COUNTA(C602, H602:N602)&gt;0, D602=""""), LEN("&amp;"H602)&gt;50, AND(I602&lt;&gt;"""", NOT(ISNUMBER(I602))), AND(ISNUMBER(I602), OR(I602&lt;0, I602&gt;99998)), AND(L602&lt;&gt;"""", NOT(REGEXMATCH(L602&amp;"""", ""^\d{8,14}$"")))), ""Erro"", """")"),"")</f>
      </c>
    </row>
    <row r="603" ht="15.75" customHeight="true">
      <c r="A603" s="33"/>
      <c r="B603" s="34" t="str">
        <f t="shared" si="1"/>
      </c>
      <c r="C603" s="35"/>
      <c r="D603" s="36"/>
      <c r="E603" s="37"/>
      <c r="F603" s="38"/>
      <c r="G603" s="39" t="str">
        <f t="shared" si="2"/>
      </c>
      <c r="H603" s="40"/>
      <c r="I603" s="41"/>
      <c r="J603" s="41"/>
      <c r="K603" s="41"/>
      <c r="L603" s="42"/>
      <c r="M603" s="43"/>
      <c r="N603" s="44"/>
      <c r="O603" s="45"/>
      <c r="P603" s="46" t="str">
        <f>IFERROR(__xludf.DUMMYFUNCTION("IF(OR(AND(C603&lt;&gt;"""", LEN(C603)&lt;3), LEN(C603)&gt;60, AND(D603&lt;&gt;"""", NOT(ISNUMBER(D603))), AND(ISNUMBER(D603), OR(D603&lt;0.01, D603&gt;999999999)), AND(COUNTA(D603:F603, H603:N603)&gt;0, C603=""""),                  
  AND(COUNTA(C603, H603:N603)&gt;0, D603=""""), LEN("&amp;"H603)&gt;50, AND(I603&lt;&gt;"""", NOT(ISNUMBER(I603))), AND(ISNUMBER(I603), OR(I603&lt;0, I603&gt;99998)), AND(L603&lt;&gt;"""", NOT(REGEXMATCH(L603&amp;"""", ""^\d{8,14}$"")))), ""Erro"", """")"),"")</f>
      </c>
    </row>
    <row r="604" ht="15.75" customHeight="true">
      <c r="A604" s="33"/>
      <c r="B604" s="34" t="str">
        <f t="shared" si="1"/>
      </c>
      <c r="C604" s="35"/>
      <c r="D604" s="36"/>
      <c r="E604" s="37"/>
      <c r="F604" s="38"/>
      <c r="G604" s="39" t="str">
        <f t="shared" si="2"/>
      </c>
      <c r="H604" s="40"/>
      <c r="I604" s="41"/>
      <c r="J604" s="41"/>
      <c r="K604" s="41"/>
      <c r="L604" s="42"/>
      <c r="M604" s="43"/>
      <c r="N604" s="44"/>
      <c r="O604" s="45"/>
      <c r="P604" s="46" t="str">
        <f>IFERROR(__xludf.DUMMYFUNCTION("IF(OR(AND(C604&lt;&gt;"""", LEN(C604)&lt;3), LEN(C604)&gt;60, AND(D604&lt;&gt;"""", NOT(ISNUMBER(D604))), AND(ISNUMBER(D604), OR(D604&lt;0.01, D604&gt;999999999)), AND(COUNTA(D604:F604, H604:N604)&gt;0, C604=""""),                  
  AND(COUNTA(C604, H604:N604)&gt;0, D604=""""), LEN("&amp;"H604)&gt;50, AND(I604&lt;&gt;"""", NOT(ISNUMBER(I604))), AND(ISNUMBER(I604), OR(I604&lt;0, I604&gt;99998)), AND(L604&lt;&gt;"""", NOT(REGEXMATCH(L604&amp;"""", ""^\d{8,14}$"")))), ""Erro"", """")"),"")</f>
      </c>
    </row>
    <row r="605" ht="15.75" customHeight="true">
      <c r="A605" s="33"/>
      <c r="B605" s="34" t="str">
        <f t="shared" si="1"/>
      </c>
      <c r="C605" s="35"/>
      <c r="D605" s="36"/>
      <c r="E605" s="37"/>
      <c r="F605" s="38"/>
      <c r="G605" s="39" t="str">
        <f t="shared" si="2"/>
      </c>
      <c r="H605" s="40"/>
      <c r="I605" s="41"/>
      <c r="J605" s="41"/>
      <c r="K605" s="41"/>
      <c r="L605" s="42"/>
      <c r="M605" s="43"/>
      <c r="N605" s="44"/>
      <c r="O605" s="45"/>
      <c r="P605" s="46" t="str">
        <f>IFERROR(__xludf.DUMMYFUNCTION("IF(OR(AND(C605&lt;&gt;"""", LEN(C605)&lt;3), LEN(C605)&gt;60, AND(D605&lt;&gt;"""", NOT(ISNUMBER(D605))), AND(ISNUMBER(D605), OR(D605&lt;0.01, D605&gt;999999999)), AND(COUNTA(D605:F605, H605:N605)&gt;0, C605=""""),                  
  AND(COUNTA(C605, H605:N605)&gt;0, D605=""""), LEN("&amp;"H605)&gt;50, AND(I605&lt;&gt;"""", NOT(ISNUMBER(I605))), AND(ISNUMBER(I605), OR(I605&lt;0, I605&gt;99998)), AND(L605&lt;&gt;"""", NOT(REGEXMATCH(L605&amp;"""", ""^\d{8,14}$"")))), ""Erro"", """")"),"")</f>
      </c>
    </row>
    <row r="606" ht="15.75" customHeight="true">
      <c r="A606" s="33"/>
      <c r="B606" s="34" t="str">
        <f t="shared" si="1"/>
      </c>
      <c r="C606" s="35"/>
      <c r="D606" s="36"/>
      <c r="E606" s="37"/>
      <c r="F606" s="38"/>
      <c r="G606" s="39" t="str">
        <f t="shared" si="2"/>
      </c>
      <c r="H606" s="40"/>
      <c r="I606" s="41"/>
      <c r="J606" s="41"/>
      <c r="K606" s="41"/>
      <c r="L606" s="42"/>
      <c r="M606" s="43"/>
      <c r="N606" s="44"/>
      <c r="O606" s="45"/>
      <c r="P606" s="46" t="str">
        <f>IFERROR(__xludf.DUMMYFUNCTION("IF(OR(AND(C606&lt;&gt;"""", LEN(C606)&lt;3), LEN(C606)&gt;60, AND(D606&lt;&gt;"""", NOT(ISNUMBER(D606))), AND(ISNUMBER(D606), OR(D606&lt;0.01, D606&gt;999999999)), AND(COUNTA(D606:F606, H606:N606)&gt;0, C606=""""),                  
  AND(COUNTA(C606, H606:N606)&gt;0, D606=""""), LEN("&amp;"H606)&gt;50, AND(I606&lt;&gt;"""", NOT(ISNUMBER(I606))), AND(ISNUMBER(I606), OR(I606&lt;0, I606&gt;99998)), AND(L606&lt;&gt;"""", NOT(REGEXMATCH(L606&amp;"""", ""^\d{8,14}$"")))), ""Erro"", """")"),"")</f>
      </c>
    </row>
    <row r="607" ht="15.75" customHeight="true">
      <c r="A607" s="33"/>
      <c r="B607" s="34" t="str">
        <f t="shared" si="1"/>
      </c>
      <c r="C607" s="35"/>
      <c r="D607" s="36"/>
      <c r="E607" s="37"/>
      <c r="F607" s="38"/>
      <c r="G607" s="39" t="str">
        <f t="shared" si="2"/>
      </c>
      <c r="H607" s="40"/>
      <c r="I607" s="41"/>
      <c r="J607" s="41"/>
      <c r="K607" s="41"/>
      <c r="L607" s="42"/>
      <c r="M607" s="43"/>
      <c r="N607" s="44"/>
      <c r="O607" s="45"/>
      <c r="P607" s="46" t="str">
        <f>IFERROR(__xludf.DUMMYFUNCTION("IF(OR(AND(C607&lt;&gt;"""", LEN(C607)&lt;3), LEN(C607)&gt;60, AND(D607&lt;&gt;"""", NOT(ISNUMBER(D607))), AND(ISNUMBER(D607), OR(D607&lt;0.01, D607&gt;999999999)), AND(COUNTA(D607:F607, H607:N607)&gt;0, C607=""""),                  
  AND(COUNTA(C607, H607:N607)&gt;0, D607=""""), LEN("&amp;"H607)&gt;50, AND(I607&lt;&gt;"""", NOT(ISNUMBER(I607))), AND(ISNUMBER(I607), OR(I607&lt;0, I607&gt;99998)), AND(L607&lt;&gt;"""", NOT(REGEXMATCH(L607&amp;"""", ""^\d{8,14}$"")))), ""Erro"", """")"),"")</f>
      </c>
    </row>
    <row r="608" ht="15.75" customHeight="true">
      <c r="A608" s="33"/>
      <c r="B608" s="34" t="str">
        <f t="shared" si="1"/>
      </c>
      <c r="C608" s="35"/>
      <c r="D608" s="36"/>
      <c r="E608" s="37"/>
      <c r="F608" s="38"/>
      <c r="G608" s="39" t="str">
        <f t="shared" si="2"/>
      </c>
      <c r="H608" s="40"/>
      <c r="I608" s="41"/>
      <c r="J608" s="41"/>
      <c r="K608" s="41"/>
      <c r="L608" s="42"/>
      <c r="M608" s="43"/>
      <c r="N608" s="44"/>
      <c r="O608" s="45"/>
      <c r="P608" s="46" t="str">
        <f>IFERROR(__xludf.DUMMYFUNCTION("IF(OR(AND(C608&lt;&gt;"""", LEN(C608)&lt;3), LEN(C608)&gt;60, AND(D608&lt;&gt;"""", NOT(ISNUMBER(D608))), AND(ISNUMBER(D608), OR(D608&lt;0.01, D608&gt;999999999)), AND(COUNTA(D608:F608, H608:N608)&gt;0, C608=""""),                  
  AND(COUNTA(C608, H608:N608)&gt;0, D608=""""), LEN("&amp;"H608)&gt;50, AND(I608&lt;&gt;"""", NOT(ISNUMBER(I608))), AND(ISNUMBER(I608), OR(I608&lt;0, I608&gt;99998)), AND(L608&lt;&gt;"""", NOT(REGEXMATCH(L608&amp;"""", ""^\d{8,14}$"")))), ""Erro"", """")"),"")</f>
      </c>
    </row>
    <row r="609" ht="15.75" customHeight="true">
      <c r="A609" s="33"/>
      <c r="B609" s="34" t="str">
        <f t="shared" si="1"/>
      </c>
      <c r="C609" s="35"/>
      <c r="D609" s="36"/>
      <c r="E609" s="37"/>
      <c r="F609" s="38"/>
      <c r="G609" s="39" t="str">
        <f t="shared" si="2"/>
      </c>
      <c r="H609" s="40"/>
      <c r="I609" s="41"/>
      <c r="J609" s="41"/>
      <c r="K609" s="41"/>
      <c r="L609" s="42"/>
      <c r="M609" s="43"/>
      <c r="N609" s="44"/>
      <c r="O609" s="45"/>
      <c r="P609" s="46" t="str">
        <f>IFERROR(__xludf.DUMMYFUNCTION("IF(OR(AND(C609&lt;&gt;"""", LEN(C609)&lt;3), LEN(C609)&gt;60, AND(D609&lt;&gt;"""", NOT(ISNUMBER(D609))), AND(ISNUMBER(D609), OR(D609&lt;0.01, D609&gt;999999999)), AND(COUNTA(D609:F609, H609:N609)&gt;0, C609=""""),                  
  AND(COUNTA(C609, H609:N609)&gt;0, D609=""""), LEN("&amp;"H609)&gt;50, AND(I609&lt;&gt;"""", NOT(ISNUMBER(I609))), AND(ISNUMBER(I609), OR(I609&lt;0, I609&gt;99998)), AND(L609&lt;&gt;"""", NOT(REGEXMATCH(L609&amp;"""", ""^\d{8,14}$"")))), ""Erro"", """")"),"")</f>
      </c>
    </row>
    <row r="610" ht="15.75" customHeight="true">
      <c r="A610" s="33"/>
      <c r="B610" s="34" t="str">
        <f t="shared" si="1"/>
      </c>
      <c r="C610" s="35"/>
      <c r="D610" s="36"/>
      <c r="E610" s="37"/>
      <c r="F610" s="38"/>
      <c r="G610" s="39" t="str">
        <f t="shared" si="2"/>
      </c>
      <c r="H610" s="40"/>
      <c r="I610" s="41"/>
      <c r="J610" s="41"/>
      <c r="K610" s="41"/>
      <c r="L610" s="42"/>
      <c r="M610" s="43"/>
      <c r="N610" s="44"/>
      <c r="O610" s="45"/>
      <c r="P610" s="46" t="str">
        <f>IFERROR(__xludf.DUMMYFUNCTION("IF(OR(AND(C610&lt;&gt;"""", LEN(C610)&lt;3), LEN(C610)&gt;60, AND(D610&lt;&gt;"""", NOT(ISNUMBER(D610))), AND(ISNUMBER(D610), OR(D610&lt;0.01, D610&gt;999999999)), AND(COUNTA(D610:F610, H610:N610)&gt;0, C610=""""),                  
  AND(COUNTA(C610, H610:N610)&gt;0, D610=""""), LEN("&amp;"H610)&gt;50, AND(I610&lt;&gt;"""", NOT(ISNUMBER(I610))), AND(ISNUMBER(I610), OR(I610&lt;0, I610&gt;99998)), AND(L610&lt;&gt;"""", NOT(REGEXMATCH(L610&amp;"""", ""^\d{8,14}$"")))), ""Erro"", """")"),"")</f>
      </c>
    </row>
    <row r="611" ht="15.75" customHeight="true">
      <c r="A611" s="33"/>
      <c r="B611" s="34" t="str">
        <f t="shared" si="1"/>
      </c>
      <c r="C611" s="35"/>
      <c r="D611" s="36"/>
      <c r="E611" s="37"/>
      <c r="F611" s="38"/>
      <c r="G611" s="39" t="str">
        <f t="shared" si="2"/>
      </c>
      <c r="H611" s="40"/>
      <c r="I611" s="41"/>
      <c r="J611" s="41"/>
      <c r="K611" s="41"/>
      <c r="L611" s="42"/>
      <c r="M611" s="43"/>
      <c r="N611" s="44"/>
      <c r="O611" s="45"/>
      <c r="P611" s="46" t="str">
        <f>IFERROR(__xludf.DUMMYFUNCTION("IF(OR(AND(C611&lt;&gt;"""", LEN(C611)&lt;3), LEN(C611)&gt;60, AND(D611&lt;&gt;"""", NOT(ISNUMBER(D611))), AND(ISNUMBER(D611), OR(D611&lt;0.01, D611&gt;999999999)), AND(COUNTA(D611:F611, H611:N611)&gt;0, C611=""""),                  
  AND(COUNTA(C611, H611:N611)&gt;0, D611=""""), LEN("&amp;"H611)&gt;50, AND(I611&lt;&gt;"""", NOT(ISNUMBER(I611))), AND(ISNUMBER(I611), OR(I611&lt;0, I611&gt;99998)), AND(L611&lt;&gt;"""", NOT(REGEXMATCH(L611&amp;"""", ""^\d{8,14}$"")))), ""Erro"", """")"),"")</f>
      </c>
    </row>
    <row r="612" ht="15.75" customHeight="true">
      <c r="A612" s="33"/>
      <c r="B612" s="34" t="str">
        <f t="shared" si="1"/>
      </c>
      <c r="C612" s="35"/>
      <c r="D612" s="36"/>
      <c r="E612" s="37"/>
      <c r="F612" s="38"/>
      <c r="G612" s="39" t="str">
        <f t="shared" si="2"/>
      </c>
      <c r="H612" s="40"/>
      <c r="I612" s="41"/>
      <c r="J612" s="41"/>
      <c r="K612" s="41"/>
      <c r="L612" s="42"/>
      <c r="M612" s="43"/>
      <c r="N612" s="44"/>
      <c r="O612" s="45"/>
      <c r="P612" s="46" t="str">
        <f>IFERROR(__xludf.DUMMYFUNCTION("IF(OR(AND(C612&lt;&gt;"""", LEN(C612)&lt;3), LEN(C612)&gt;60, AND(D612&lt;&gt;"""", NOT(ISNUMBER(D612))), AND(ISNUMBER(D612), OR(D612&lt;0.01, D612&gt;999999999)), AND(COUNTA(D612:F612, H612:N612)&gt;0, C612=""""),                  
  AND(COUNTA(C612, H612:N612)&gt;0, D612=""""), LEN("&amp;"H612)&gt;50, AND(I612&lt;&gt;"""", NOT(ISNUMBER(I612))), AND(ISNUMBER(I612), OR(I612&lt;0, I612&gt;99998)), AND(L612&lt;&gt;"""", NOT(REGEXMATCH(L612&amp;"""", ""^\d{8,14}$"")))), ""Erro"", """")"),"")</f>
      </c>
    </row>
    <row r="613" ht="15.75" customHeight="true">
      <c r="A613" s="33"/>
      <c r="B613" s="34" t="str">
        <f t="shared" si="1"/>
      </c>
      <c r="C613" s="35"/>
      <c r="D613" s="36"/>
      <c r="E613" s="37"/>
      <c r="F613" s="38"/>
      <c r="G613" s="39" t="str">
        <f t="shared" si="2"/>
      </c>
      <c r="H613" s="40"/>
      <c r="I613" s="41"/>
      <c r="J613" s="41"/>
      <c r="K613" s="41"/>
      <c r="L613" s="42"/>
      <c r="M613" s="43"/>
      <c r="N613" s="44"/>
      <c r="O613" s="45"/>
      <c r="P613" s="46" t="str">
        <f>IFERROR(__xludf.DUMMYFUNCTION("IF(OR(AND(C613&lt;&gt;"""", LEN(C613)&lt;3), LEN(C613)&gt;60, AND(D613&lt;&gt;"""", NOT(ISNUMBER(D613))), AND(ISNUMBER(D613), OR(D613&lt;0.01, D613&gt;999999999)), AND(COUNTA(D613:F613, H613:N613)&gt;0, C613=""""),                  
  AND(COUNTA(C613, H613:N613)&gt;0, D613=""""), LEN("&amp;"H613)&gt;50, AND(I613&lt;&gt;"""", NOT(ISNUMBER(I613))), AND(ISNUMBER(I613), OR(I613&lt;0, I613&gt;99998)), AND(L613&lt;&gt;"""", NOT(REGEXMATCH(L613&amp;"""", ""^\d{8,14}$"")))), ""Erro"", """")"),"")</f>
      </c>
    </row>
    <row r="614" ht="15.75" customHeight="true">
      <c r="A614" s="33"/>
      <c r="B614" s="34" t="str">
        <f t="shared" si="1"/>
      </c>
      <c r="C614" s="35"/>
      <c r="D614" s="36"/>
      <c r="E614" s="37"/>
      <c r="F614" s="38"/>
      <c r="G614" s="39" t="str">
        <f t="shared" si="2"/>
      </c>
      <c r="H614" s="40"/>
      <c r="I614" s="41"/>
      <c r="J614" s="41"/>
      <c r="K614" s="41"/>
      <c r="L614" s="42"/>
      <c r="M614" s="43"/>
      <c r="N614" s="44"/>
      <c r="O614" s="45"/>
      <c r="P614" s="46" t="str">
        <f>IFERROR(__xludf.DUMMYFUNCTION("IF(OR(AND(C614&lt;&gt;"""", LEN(C614)&lt;3), LEN(C614)&gt;60, AND(D614&lt;&gt;"""", NOT(ISNUMBER(D614))), AND(ISNUMBER(D614), OR(D614&lt;0.01, D614&gt;999999999)), AND(COUNTA(D614:F614, H614:N614)&gt;0, C614=""""),                  
  AND(COUNTA(C614, H614:N614)&gt;0, D614=""""), LEN("&amp;"H614)&gt;50, AND(I614&lt;&gt;"""", NOT(ISNUMBER(I614))), AND(ISNUMBER(I614), OR(I614&lt;0, I614&gt;99998)), AND(L614&lt;&gt;"""", NOT(REGEXMATCH(L614&amp;"""", ""^\d{8,14}$"")))), ""Erro"", """")"),"")</f>
      </c>
    </row>
    <row r="615" ht="15.75" customHeight="true">
      <c r="A615" s="33"/>
      <c r="B615" s="34" t="str">
        <f t="shared" si="1"/>
      </c>
      <c r="C615" s="35"/>
      <c r="D615" s="36"/>
      <c r="E615" s="37"/>
      <c r="F615" s="38"/>
      <c r="G615" s="39" t="str">
        <f t="shared" si="2"/>
      </c>
      <c r="H615" s="40"/>
      <c r="I615" s="41"/>
      <c r="J615" s="41"/>
      <c r="K615" s="41"/>
      <c r="L615" s="42"/>
      <c r="M615" s="43"/>
      <c r="N615" s="44"/>
      <c r="O615" s="45"/>
      <c r="P615" s="46" t="str">
        <f>IFERROR(__xludf.DUMMYFUNCTION("IF(OR(AND(C615&lt;&gt;"""", LEN(C615)&lt;3), LEN(C615)&gt;60, AND(D615&lt;&gt;"""", NOT(ISNUMBER(D615))), AND(ISNUMBER(D615), OR(D615&lt;0.01, D615&gt;999999999)), AND(COUNTA(D615:F615, H615:N615)&gt;0, C615=""""),                  
  AND(COUNTA(C615, H615:N615)&gt;0, D615=""""), LEN("&amp;"H615)&gt;50, AND(I615&lt;&gt;"""", NOT(ISNUMBER(I615))), AND(ISNUMBER(I615), OR(I615&lt;0, I615&gt;99998)), AND(L615&lt;&gt;"""", NOT(REGEXMATCH(L615&amp;"""", ""^\d{8,14}$"")))), ""Erro"", """")"),"")</f>
      </c>
    </row>
    <row r="616" ht="15.75" customHeight="true">
      <c r="A616" s="33"/>
      <c r="B616" s="34" t="str">
        <f t="shared" si="1"/>
      </c>
      <c r="C616" s="35"/>
      <c r="D616" s="36"/>
      <c r="E616" s="37"/>
      <c r="F616" s="38"/>
      <c r="G616" s="39" t="str">
        <f t="shared" si="2"/>
      </c>
      <c r="H616" s="40"/>
      <c r="I616" s="41"/>
      <c r="J616" s="41"/>
      <c r="K616" s="41"/>
      <c r="L616" s="42"/>
      <c r="M616" s="43"/>
      <c r="N616" s="44"/>
      <c r="O616" s="45"/>
      <c r="P616" s="46" t="str">
        <f>IFERROR(__xludf.DUMMYFUNCTION("IF(OR(AND(C616&lt;&gt;"""", LEN(C616)&lt;3), LEN(C616)&gt;60, AND(D616&lt;&gt;"""", NOT(ISNUMBER(D616))), AND(ISNUMBER(D616), OR(D616&lt;0.01, D616&gt;999999999)), AND(COUNTA(D616:F616, H616:N616)&gt;0, C616=""""),                  
  AND(COUNTA(C616, H616:N616)&gt;0, D616=""""), LEN("&amp;"H616)&gt;50, AND(I616&lt;&gt;"""", NOT(ISNUMBER(I616))), AND(ISNUMBER(I616), OR(I616&lt;0, I616&gt;99998)), AND(L616&lt;&gt;"""", NOT(REGEXMATCH(L616&amp;"""", ""^\d{8,14}$"")))), ""Erro"", """")"),"")</f>
      </c>
    </row>
    <row r="617" ht="15.75" customHeight="true">
      <c r="A617" s="33"/>
      <c r="B617" s="34" t="str">
        <f t="shared" si="1"/>
      </c>
      <c r="C617" s="35"/>
      <c r="D617" s="36"/>
      <c r="E617" s="37"/>
      <c r="F617" s="38"/>
      <c r="G617" s="39" t="str">
        <f t="shared" si="2"/>
      </c>
      <c r="H617" s="40"/>
      <c r="I617" s="41"/>
      <c r="J617" s="41"/>
      <c r="K617" s="41"/>
      <c r="L617" s="42"/>
      <c r="M617" s="43"/>
      <c r="N617" s="44"/>
      <c r="O617" s="45"/>
      <c r="P617" s="46" t="str">
        <f>IFERROR(__xludf.DUMMYFUNCTION("IF(OR(AND(C617&lt;&gt;"""", LEN(C617)&lt;3), LEN(C617)&gt;60, AND(D617&lt;&gt;"""", NOT(ISNUMBER(D617))), AND(ISNUMBER(D617), OR(D617&lt;0.01, D617&gt;999999999)), AND(COUNTA(D617:F617, H617:N617)&gt;0, C617=""""),                  
  AND(COUNTA(C617, H617:N617)&gt;0, D617=""""), LEN("&amp;"H617)&gt;50, AND(I617&lt;&gt;"""", NOT(ISNUMBER(I617))), AND(ISNUMBER(I617), OR(I617&lt;0, I617&gt;99998)), AND(L617&lt;&gt;"""", NOT(REGEXMATCH(L617&amp;"""", ""^\d{8,14}$"")))), ""Erro"", """")"),"")</f>
      </c>
    </row>
    <row r="618" ht="15.75" customHeight="true">
      <c r="A618" s="33"/>
      <c r="B618" s="34" t="str">
        <f t="shared" si="1"/>
      </c>
      <c r="C618" s="35"/>
      <c r="D618" s="36"/>
      <c r="E618" s="37"/>
      <c r="F618" s="38"/>
      <c r="G618" s="39" t="str">
        <f t="shared" si="2"/>
      </c>
      <c r="H618" s="40"/>
      <c r="I618" s="41"/>
      <c r="J618" s="41"/>
      <c r="K618" s="41"/>
      <c r="L618" s="42"/>
      <c r="M618" s="43"/>
      <c r="N618" s="44"/>
      <c r="O618" s="45"/>
      <c r="P618" s="46" t="str">
        <f>IFERROR(__xludf.DUMMYFUNCTION("IF(OR(AND(C618&lt;&gt;"""", LEN(C618)&lt;3), LEN(C618)&gt;60, AND(D618&lt;&gt;"""", NOT(ISNUMBER(D618))), AND(ISNUMBER(D618), OR(D618&lt;0.01, D618&gt;999999999)), AND(COUNTA(D618:F618, H618:N618)&gt;0, C618=""""),                  
  AND(COUNTA(C618, H618:N618)&gt;0, D618=""""), LEN("&amp;"H618)&gt;50, AND(I618&lt;&gt;"""", NOT(ISNUMBER(I618))), AND(ISNUMBER(I618), OR(I618&lt;0, I618&gt;99998)), AND(L618&lt;&gt;"""", NOT(REGEXMATCH(L618&amp;"""", ""^\d{8,14}$"")))), ""Erro"", """")"),"")</f>
      </c>
    </row>
    <row r="619" ht="15.75" customHeight="true">
      <c r="A619" s="33"/>
      <c r="B619" s="34" t="str">
        <f t="shared" si="1"/>
      </c>
      <c r="C619" s="35"/>
      <c r="D619" s="36"/>
      <c r="E619" s="37"/>
      <c r="F619" s="38"/>
      <c r="G619" s="39" t="str">
        <f t="shared" si="2"/>
      </c>
      <c r="H619" s="40"/>
      <c r="I619" s="41"/>
      <c r="J619" s="41"/>
      <c r="K619" s="41"/>
      <c r="L619" s="42"/>
      <c r="M619" s="43"/>
      <c r="N619" s="44"/>
      <c r="O619" s="45"/>
      <c r="P619" s="46" t="str">
        <f>IFERROR(__xludf.DUMMYFUNCTION("IF(OR(AND(C619&lt;&gt;"""", LEN(C619)&lt;3), LEN(C619)&gt;60, AND(D619&lt;&gt;"""", NOT(ISNUMBER(D619))), AND(ISNUMBER(D619), OR(D619&lt;0.01, D619&gt;999999999)), AND(COUNTA(D619:F619, H619:N619)&gt;0, C619=""""),                  
  AND(COUNTA(C619, H619:N619)&gt;0, D619=""""), LEN("&amp;"H619)&gt;50, AND(I619&lt;&gt;"""", NOT(ISNUMBER(I619))), AND(ISNUMBER(I619), OR(I619&lt;0, I619&gt;99998)), AND(L619&lt;&gt;"""", NOT(REGEXMATCH(L619&amp;"""", ""^\d{8,14}$"")))), ""Erro"", """")"),"")</f>
      </c>
    </row>
    <row r="620" ht="15.75" customHeight="true">
      <c r="A620" s="33"/>
      <c r="B620" s="34" t="str">
        <f t="shared" si="1"/>
      </c>
      <c r="C620" s="35"/>
      <c r="D620" s="36"/>
      <c r="E620" s="37"/>
      <c r="F620" s="38"/>
      <c r="G620" s="39" t="str">
        <f t="shared" si="2"/>
      </c>
      <c r="H620" s="40"/>
      <c r="I620" s="41"/>
      <c r="J620" s="41"/>
      <c r="K620" s="41"/>
      <c r="L620" s="42"/>
      <c r="M620" s="43"/>
      <c r="N620" s="44"/>
      <c r="O620" s="45"/>
      <c r="P620" s="46" t="str">
        <f>IFERROR(__xludf.DUMMYFUNCTION("IF(OR(AND(C620&lt;&gt;"""", LEN(C620)&lt;3), LEN(C620)&gt;60, AND(D620&lt;&gt;"""", NOT(ISNUMBER(D620))), AND(ISNUMBER(D620), OR(D620&lt;0.01, D620&gt;999999999)), AND(COUNTA(D620:F620, H620:N620)&gt;0, C620=""""),                  
  AND(COUNTA(C620, H620:N620)&gt;0, D620=""""), LEN("&amp;"H620)&gt;50, AND(I620&lt;&gt;"""", NOT(ISNUMBER(I620))), AND(ISNUMBER(I620), OR(I620&lt;0, I620&gt;99998)), AND(L620&lt;&gt;"""", NOT(REGEXMATCH(L620&amp;"""", ""^\d{8,14}$"")))), ""Erro"", """")"),"")</f>
      </c>
    </row>
    <row r="621" ht="15.75" customHeight="true">
      <c r="A621" s="33"/>
      <c r="B621" s="34" t="str">
        <f t="shared" si="1"/>
      </c>
      <c r="C621" s="35"/>
      <c r="D621" s="36"/>
      <c r="E621" s="37"/>
      <c r="F621" s="38"/>
      <c r="G621" s="39" t="str">
        <f t="shared" si="2"/>
      </c>
      <c r="H621" s="40"/>
      <c r="I621" s="41"/>
      <c r="J621" s="41"/>
      <c r="K621" s="41"/>
      <c r="L621" s="42"/>
      <c r="M621" s="43"/>
      <c r="N621" s="44"/>
      <c r="O621" s="45"/>
      <c r="P621" s="46" t="str">
        <f>IFERROR(__xludf.DUMMYFUNCTION("IF(OR(AND(C621&lt;&gt;"""", LEN(C621)&lt;3), LEN(C621)&gt;60, AND(D621&lt;&gt;"""", NOT(ISNUMBER(D621))), AND(ISNUMBER(D621), OR(D621&lt;0.01, D621&gt;999999999)), AND(COUNTA(D621:F621, H621:N621)&gt;0, C621=""""),                  
  AND(COUNTA(C621, H621:N621)&gt;0, D621=""""), LEN("&amp;"H621)&gt;50, AND(I621&lt;&gt;"""", NOT(ISNUMBER(I621))), AND(ISNUMBER(I621), OR(I621&lt;0, I621&gt;99998)), AND(L621&lt;&gt;"""", NOT(REGEXMATCH(L621&amp;"""", ""^\d{8,14}$"")))), ""Erro"", """")"),"")</f>
      </c>
    </row>
    <row r="622" ht="15.75" customHeight="true">
      <c r="A622" s="33"/>
      <c r="B622" s="34" t="str">
        <f t="shared" si="1"/>
      </c>
      <c r="C622" s="35"/>
      <c r="D622" s="36"/>
      <c r="E622" s="37"/>
      <c r="F622" s="38"/>
      <c r="G622" s="39" t="str">
        <f t="shared" si="2"/>
      </c>
      <c r="H622" s="40"/>
      <c r="I622" s="41"/>
      <c r="J622" s="41"/>
      <c r="K622" s="41"/>
      <c r="L622" s="42"/>
      <c r="M622" s="43"/>
      <c r="N622" s="44"/>
      <c r="O622" s="45"/>
      <c r="P622" s="46" t="str">
        <f>IFERROR(__xludf.DUMMYFUNCTION("IF(OR(AND(C622&lt;&gt;"""", LEN(C622)&lt;3), LEN(C622)&gt;60, AND(D622&lt;&gt;"""", NOT(ISNUMBER(D622))), AND(ISNUMBER(D622), OR(D622&lt;0.01, D622&gt;999999999)), AND(COUNTA(D622:F622, H622:N622)&gt;0, C622=""""),                  
  AND(COUNTA(C622, H622:N622)&gt;0, D622=""""), LEN("&amp;"H622)&gt;50, AND(I622&lt;&gt;"""", NOT(ISNUMBER(I622))), AND(ISNUMBER(I622), OR(I622&lt;0, I622&gt;99998)), AND(L622&lt;&gt;"""", NOT(REGEXMATCH(L622&amp;"""", ""^\d{8,14}$"")))), ""Erro"", """")"),"")</f>
      </c>
    </row>
    <row r="623" ht="15.75" customHeight="true">
      <c r="A623" s="33"/>
      <c r="B623" s="34" t="str">
        <f t="shared" si="1"/>
      </c>
      <c r="C623" s="35"/>
      <c r="D623" s="36"/>
      <c r="E623" s="37"/>
      <c r="F623" s="38"/>
      <c r="G623" s="39" t="str">
        <f t="shared" si="2"/>
      </c>
      <c r="H623" s="40"/>
      <c r="I623" s="41"/>
      <c r="J623" s="41"/>
      <c r="K623" s="41"/>
      <c r="L623" s="42"/>
      <c r="M623" s="43"/>
      <c r="N623" s="44"/>
      <c r="O623" s="45"/>
      <c r="P623" s="46" t="str">
        <f>IFERROR(__xludf.DUMMYFUNCTION("IF(OR(AND(C623&lt;&gt;"""", LEN(C623)&lt;3), LEN(C623)&gt;60, AND(D623&lt;&gt;"""", NOT(ISNUMBER(D623))), AND(ISNUMBER(D623), OR(D623&lt;0.01, D623&gt;999999999)), AND(COUNTA(D623:F623, H623:N623)&gt;0, C623=""""),                  
  AND(COUNTA(C623, H623:N623)&gt;0, D623=""""), LEN("&amp;"H623)&gt;50, AND(I623&lt;&gt;"""", NOT(ISNUMBER(I623))), AND(ISNUMBER(I623), OR(I623&lt;0, I623&gt;99998)), AND(L623&lt;&gt;"""", NOT(REGEXMATCH(L623&amp;"""", ""^\d{8,14}$"")))), ""Erro"", """")"),"")</f>
      </c>
    </row>
    <row r="624" ht="15.75" customHeight="true">
      <c r="A624" s="33"/>
      <c r="B624" s="34" t="str">
        <f t="shared" si="1"/>
      </c>
      <c r="C624" s="35"/>
      <c r="D624" s="36"/>
      <c r="E624" s="37"/>
      <c r="F624" s="38"/>
      <c r="G624" s="39" t="str">
        <f t="shared" si="2"/>
      </c>
      <c r="H624" s="40"/>
      <c r="I624" s="41"/>
      <c r="J624" s="41"/>
      <c r="K624" s="41"/>
      <c r="L624" s="42"/>
      <c r="M624" s="43"/>
      <c r="N624" s="44"/>
      <c r="O624" s="45"/>
      <c r="P624" s="46" t="str">
        <f>IFERROR(__xludf.DUMMYFUNCTION("IF(OR(AND(C624&lt;&gt;"""", LEN(C624)&lt;3), LEN(C624)&gt;60, AND(D624&lt;&gt;"""", NOT(ISNUMBER(D624))), AND(ISNUMBER(D624), OR(D624&lt;0.01, D624&gt;999999999)), AND(COUNTA(D624:F624, H624:N624)&gt;0, C624=""""),                  
  AND(COUNTA(C624, H624:N624)&gt;0, D624=""""), LEN("&amp;"H624)&gt;50, AND(I624&lt;&gt;"""", NOT(ISNUMBER(I624))), AND(ISNUMBER(I624), OR(I624&lt;0, I624&gt;99998)), AND(L624&lt;&gt;"""", NOT(REGEXMATCH(L624&amp;"""", ""^\d{8,14}$"")))), ""Erro"", """")"),"")</f>
      </c>
    </row>
    <row r="625" ht="15.75" customHeight="true">
      <c r="A625" s="33"/>
      <c r="B625" s="34" t="str">
        <f t="shared" si="1"/>
      </c>
      <c r="C625" s="35"/>
      <c r="D625" s="36"/>
      <c r="E625" s="37"/>
      <c r="F625" s="38"/>
      <c r="G625" s="39" t="str">
        <f t="shared" si="2"/>
      </c>
      <c r="H625" s="40"/>
      <c r="I625" s="41"/>
      <c r="J625" s="41"/>
      <c r="K625" s="41"/>
      <c r="L625" s="42"/>
      <c r="M625" s="43"/>
      <c r="N625" s="44"/>
      <c r="O625" s="45"/>
      <c r="P625" s="46" t="str">
        <f>IFERROR(__xludf.DUMMYFUNCTION("IF(OR(AND(C625&lt;&gt;"""", LEN(C625)&lt;3), LEN(C625)&gt;60, AND(D625&lt;&gt;"""", NOT(ISNUMBER(D625))), AND(ISNUMBER(D625), OR(D625&lt;0.01, D625&gt;999999999)), AND(COUNTA(D625:F625, H625:N625)&gt;0, C625=""""),                  
  AND(COUNTA(C625, H625:N625)&gt;0, D625=""""), LEN("&amp;"H625)&gt;50, AND(I625&lt;&gt;"""", NOT(ISNUMBER(I625))), AND(ISNUMBER(I625), OR(I625&lt;0, I625&gt;99998)), AND(L625&lt;&gt;"""", NOT(REGEXMATCH(L625&amp;"""", ""^\d{8,14}$"")))), ""Erro"", """")"),"")</f>
      </c>
    </row>
    <row r="626" ht="15.75" customHeight="true">
      <c r="A626" s="33"/>
      <c r="B626" s="34" t="str">
        <f t="shared" si="1"/>
      </c>
      <c r="C626" s="35"/>
      <c r="D626" s="36"/>
      <c r="E626" s="37"/>
      <c r="F626" s="38"/>
      <c r="G626" s="39" t="str">
        <f t="shared" si="2"/>
      </c>
      <c r="H626" s="40"/>
      <c r="I626" s="41"/>
      <c r="J626" s="41"/>
      <c r="K626" s="41"/>
      <c r="L626" s="42"/>
      <c r="M626" s="43"/>
      <c r="N626" s="44"/>
      <c r="O626" s="45"/>
      <c r="P626" s="46" t="str">
        <f>IFERROR(__xludf.DUMMYFUNCTION("IF(OR(AND(C626&lt;&gt;"""", LEN(C626)&lt;3), LEN(C626)&gt;60, AND(D626&lt;&gt;"""", NOT(ISNUMBER(D626))), AND(ISNUMBER(D626), OR(D626&lt;0.01, D626&gt;999999999)), AND(COUNTA(D626:F626, H626:N626)&gt;0, C626=""""),                  
  AND(COUNTA(C626, H626:N626)&gt;0, D626=""""), LEN("&amp;"H626)&gt;50, AND(I626&lt;&gt;"""", NOT(ISNUMBER(I626))), AND(ISNUMBER(I626), OR(I626&lt;0, I626&gt;99998)), AND(L626&lt;&gt;"""", NOT(REGEXMATCH(L626&amp;"""", ""^\d{8,14}$"")))), ""Erro"", """")"),"")</f>
      </c>
    </row>
    <row r="627" ht="15.75" customHeight="true">
      <c r="A627" s="33"/>
      <c r="B627" s="34" t="str">
        <f t="shared" si="1"/>
      </c>
      <c r="C627" s="35"/>
      <c r="D627" s="36"/>
      <c r="E627" s="37"/>
      <c r="F627" s="38"/>
      <c r="G627" s="39" t="str">
        <f t="shared" si="2"/>
      </c>
      <c r="H627" s="40"/>
      <c r="I627" s="41"/>
      <c r="J627" s="41"/>
      <c r="K627" s="41"/>
      <c r="L627" s="42"/>
      <c r="M627" s="43"/>
      <c r="N627" s="44"/>
      <c r="O627" s="45"/>
      <c r="P627" s="46" t="str">
        <f>IFERROR(__xludf.DUMMYFUNCTION("IF(OR(AND(C627&lt;&gt;"""", LEN(C627)&lt;3), LEN(C627)&gt;60, AND(D627&lt;&gt;"""", NOT(ISNUMBER(D627))), AND(ISNUMBER(D627), OR(D627&lt;0.01, D627&gt;999999999)), AND(COUNTA(D627:F627, H627:N627)&gt;0, C627=""""),                  
  AND(COUNTA(C627, H627:N627)&gt;0, D627=""""), LEN("&amp;"H627)&gt;50, AND(I627&lt;&gt;"""", NOT(ISNUMBER(I627))), AND(ISNUMBER(I627), OR(I627&lt;0, I627&gt;99998)), AND(L627&lt;&gt;"""", NOT(REGEXMATCH(L627&amp;"""", ""^\d{8,14}$"")))), ""Erro"", """")"),"")</f>
      </c>
    </row>
    <row r="628" ht="15.75" customHeight="true">
      <c r="A628" s="33"/>
      <c r="B628" s="34" t="str">
        <f t="shared" si="1"/>
      </c>
      <c r="C628" s="35"/>
      <c r="D628" s="36"/>
      <c r="E628" s="37"/>
      <c r="F628" s="38"/>
      <c r="G628" s="39" t="str">
        <f t="shared" si="2"/>
      </c>
      <c r="H628" s="40"/>
      <c r="I628" s="41"/>
      <c r="J628" s="41"/>
      <c r="K628" s="41"/>
      <c r="L628" s="42"/>
      <c r="M628" s="43"/>
      <c r="N628" s="44"/>
      <c r="O628" s="45"/>
      <c r="P628" s="46" t="str">
        <f>IFERROR(__xludf.DUMMYFUNCTION("IF(OR(AND(C628&lt;&gt;"""", LEN(C628)&lt;3), LEN(C628)&gt;60, AND(D628&lt;&gt;"""", NOT(ISNUMBER(D628))), AND(ISNUMBER(D628), OR(D628&lt;0.01, D628&gt;999999999)), AND(COUNTA(D628:F628, H628:N628)&gt;0, C628=""""),                  
  AND(COUNTA(C628, H628:N628)&gt;0, D628=""""), LEN("&amp;"H628)&gt;50, AND(I628&lt;&gt;"""", NOT(ISNUMBER(I628))), AND(ISNUMBER(I628), OR(I628&lt;0, I628&gt;99998)), AND(L628&lt;&gt;"""", NOT(REGEXMATCH(L628&amp;"""", ""^\d{8,14}$"")))), ""Erro"", """")"),"")</f>
      </c>
    </row>
    <row r="629" ht="15.75" customHeight="true">
      <c r="A629" s="33"/>
      <c r="B629" s="34" t="str">
        <f t="shared" si="1"/>
      </c>
      <c r="C629" s="35"/>
      <c r="D629" s="36"/>
      <c r="E629" s="37"/>
      <c r="F629" s="38"/>
      <c r="G629" s="39" t="str">
        <f t="shared" si="2"/>
      </c>
      <c r="H629" s="40"/>
      <c r="I629" s="41"/>
      <c r="J629" s="41"/>
      <c r="K629" s="41"/>
      <c r="L629" s="42"/>
      <c r="M629" s="43"/>
      <c r="N629" s="44"/>
      <c r="O629" s="45"/>
      <c r="P629" s="46" t="str">
        <f>IFERROR(__xludf.DUMMYFUNCTION("IF(OR(AND(C629&lt;&gt;"""", LEN(C629)&lt;3), LEN(C629)&gt;60, AND(D629&lt;&gt;"""", NOT(ISNUMBER(D629))), AND(ISNUMBER(D629), OR(D629&lt;0.01, D629&gt;999999999)), AND(COUNTA(D629:F629, H629:N629)&gt;0, C629=""""),                  
  AND(COUNTA(C629, H629:N629)&gt;0, D629=""""), LEN("&amp;"H629)&gt;50, AND(I629&lt;&gt;"""", NOT(ISNUMBER(I629))), AND(ISNUMBER(I629), OR(I629&lt;0, I629&gt;99998)), AND(L629&lt;&gt;"""", NOT(REGEXMATCH(L629&amp;"""", ""^\d{8,14}$"")))), ""Erro"", """")"),"")</f>
      </c>
    </row>
    <row r="630" ht="15.75" customHeight="true">
      <c r="A630" s="33"/>
      <c r="B630" s="34" t="str">
        <f t="shared" si="1"/>
      </c>
      <c r="C630" s="35"/>
      <c r="D630" s="36"/>
      <c r="E630" s="37"/>
      <c r="F630" s="38"/>
      <c r="G630" s="39" t="str">
        <f t="shared" si="2"/>
      </c>
      <c r="H630" s="40"/>
      <c r="I630" s="41"/>
      <c r="J630" s="41"/>
      <c r="K630" s="41"/>
      <c r="L630" s="42"/>
      <c r="M630" s="43"/>
      <c r="N630" s="44"/>
      <c r="O630" s="45"/>
      <c r="P630" s="46" t="str">
        <f>IFERROR(__xludf.DUMMYFUNCTION("IF(OR(AND(C630&lt;&gt;"""", LEN(C630)&lt;3), LEN(C630)&gt;60, AND(D630&lt;&gt;"""", NOT(ISNUMBER(D630))), AND(ISNUMBER(D630), OR(D630&lt;0.01, D630&gt;999999999)), AND(COUNTA(D630:F630, H630:N630)&gt;0, C630=""""),                  
  AND(COUNTA(C630, H630:N630)&gt;0, D630=""""), LEN("&amp;"H630)&gt;50, AND(I630&lt;&gt;"""", NOT(ISNUMBER(I630))), AND(ISNUMBER(I630), OR(I630&lt;0, I630&gt;99998)), AND(L630&lt;&gt;"""", NOT(REGEXMATCH(L630&amp;"""", ""^\d{8,14}$"")))), ""Erro"", """")"),"")</f>
      </c>
    </row>
    <row r="631" ht="15.75" customHeight="true">
      <c r="A631" s="33"/>
      <c r="B631" s="34" t="str">
        <f t="shared" si="1"/>
      </c>
      <c r="C631" s="35"/>
      <c r="D631" s="36"/>
      <c r="E631" s="37"/>
      <c r="F631" s="38"/>
      <c r="G631" s="39" t="str">
        <f t="shared" si="2"/>
      </c>
      <c r="H631" s="40"/>
      <c r="I631" s="41"/>
      <c r="J631" s="41"/>
      <c r="K631" s="41"/>
      <c r="L631" s="42"/>
      <c r="M631" s="43"/>
      <c r="N631" s="44"/>
      <c r="O631" s="45"/>
      <c r="P631" s="46" t="str">
        <f>IFERROR(__xludf.DUMMYFUNCTION("IF(OR(AND(C631&lt;&gt;"""", LEN(C631)&lt;3), LEN(C631)&gt;60, AND(D631&lt;&gt;"""", NOT(ISNUMBER(D631))), AND(ISNUMBER(D631), OR(D631&lt;0.01, D631&gt;999999999)), AND(COUNTA(D631:F631, H631:N631)&gt;0, C631=""""),                  
  AND(COUNTA(C631, H631:N631)&gt;0, D631=""""), LEN("&amp;"H631)&gt;50, AND(I631&lt;&gt;"""", NOT(ISNUMBER(I631))), AND(ISNUMBER(I631), OR(I631&lt;0, I631&gt;99998)), AND(L631&lt;&gt;"""", NOT(REGEXMATCH(L631&amp;"""", ""^\d{8,14}$"")))), ""Erro"", """")"),"")</f>
      </c>
    </row>
    <row r="632" ht="15.75" customHeight="true">
      <c r="A632" s="33"/>
      <c r="B632" s="34" t="str">
        <f t="shared" si="1"/>
      </c>
      <c r="C632" s="35"/>
      <c r="D632" s="36"/>
      <c r="E632" s="37"/>
      <c r="F632" s="38"/>
      <c r="G632" s="39" t="str">
        <f t="shared" si="2"/>
      </c>
      <c r="H632" s="40"/>
      <c r="I632" s="41"/>
      <c r="J632" s="41"/>
      <c r="K632" s="41"/>
      <c r="L632" s="42"/>
      <c r="M632" s="43"/>
      <c r="N632" s="44"/>
      <c r="O632" s="45"/>
      <c r="P632" s="46" t="str">
        <f>IFERROR(__xludf.DUMMYFUNCTION("IF(OR(AND(C632&lt;&gt;"""", LEN(C632)&lt;3), LEN(C632)&gt;60, AND(D632&lt;&gt;"""", NOT(ISNUMBER(D632))), AND(ISNUMBER(D632), OR(D632&lt;0.01, D632&gt;999999999)), AND(COUNTA(D632:F632, H632:N632)&gt;0, C632=""""),                  
  AND(COUNTA(C632, H632:N632)&gt;0, D632=""""), LEN("&amp;"H632)&gt;50, AND(I632&lt;&gt;"""", NOT(ISNUMBER(I632))), AND(ISNUMBER(I632), OR(I632&lt;0, I632&gt;99998)), AND(L632&lt;&gt;"""", NOT(REGEXMATCH(L632&amp;"""", ""^\d{8,14}$"")))), ""Erro"", """")"),"")</f>
      </c>
    </row>
    <row r="633" ht="15.75" customHeight="true">
      <c r="A633" s="33"/>
      <c r="B633" s="34" t="str">
        <f t="shared" si="1"/>
      </c>
      <c r="C633" s="35"/>
      <c r="D633" s="36"/>
      <c r="E633" s="37"/>
      <c r="F633" s="38"/>
      <c r="G633" s="39" t="str">
        <f t="shared" si="2"/>
      </c>
      <c r="H633" s="40"/>
      <c r="I633" s="41"/>
      <c r="J633" s="41"/>
      <c r="K633" s="41"/>
      <c r="L633" s="42"/>
      <c r="M633" s="43"/>
      <c r="N633" s="44"/>
      <c r="O633" s="45"/>
      <c r="P633" s="46" t="str">
        <f>IFERROR(__xludf.DUMMYFUNCTION("IF(OR(AND(C633&lt;&gt;"""", LEN(C633)&lt;3), LEN(C633)&gt;60, AND(D633&lt;&gt;"""", NOT(ISNUMBER(D633))), AND(ISNUMBER(D633), OR(D633&lt;0.01, D633&gt;999999999)), AND(COUNTA(D633:F633, H633:N633)&gt;0, C633=""""),                  
  AND(COUNTA(C633, H633:N633)&gt;0, D633=""""), LEN("&amp;"H633)&gt;50, AND(I633&lt;&gt;"""", NOT(ISNUMBER(I633))), AND(ISNUMBER(I633), OR(I633&lt;0, I633&gt;99998)), AND(L633&lt;&gt;"""", NOT(REGEXMATCH(L633&amp;"""", ""^\d{8,14}$"")))), ""Erro"", """")"),"")</f>
      </c>
    </row>
    <row r="634" ht="15.75" customHeight="true">
      <c r="A634" s="33"/>
      <c r="B634" s="34" t="str">
        <f t="shared" si="1"/>
      </c>
      <c r="C634" s="35"/>
      <c r="D634" s="36"/>
      <c r="E634" s="37"/>
      <c r="F634" s="38"/>
      <c r="G634" s="39" t="str">
        <f t="shared" si="2"/>
      </c>
      <c r="H634" s="40"/>
      <c r="I634" s="41"/>
      <c r="J634" s="41"/>
      <c r="K634" s="41"/>
      <c r="L634" s="42"/>
      <c r="M634" s="43"/>
      <c r="N634" s="44"/>
      <c r="O634" s="45"/>
      <c r="P634" s="46" t="str">
        <f>IFERROR(__xludf.DUMMYFUNCTION("IF(OR(AND(C634&lt;&gt;"""", LEN(C634)&lt;3), LEN(C634)&gt;60, AND(D634&lt;&gt;"""", NOT(ISNUMBER(D634))), AND(ISNUMBER(D634), OR(D634&lt;0.01, D634&gt;999999999)), AND(COUNTA(D634:F634, H634:N634)&gt;0, C634=""""),                  
  AND(COUNTA(C634, H634:N634)&gt;0, D634=""""), LEN("&amp;"H634)&gt;50, AND(I634&lt;&gt;"""", NOT(ISNUMBER(I634))), AND(ISNUMBER(I634), OR(I634&lt;0, I634&gt;99998)), AND(L634&lt;&gt;"""", NOT(REGEXMATCH(L634&amp;"""", ""^\d{8,14}$"")))), ""Erro"", """")"),"")</f>
      </c>
    </row>
    <row r="635" ht="15.75" customHeight="true">
      <c r="A635" s="33"/>
      <c r="B635" s="34" t="str">
        <f t="shared" si="1"/>
      </c>
      <c r="C635" s="35"/>
      <c r="D635" s="36"/>
      <c r="E635" s="37"/>
      <c r="F635" s="38"/>
      <c r="G635" s="39" t="str">
        <f t="shared" si="2"/>
      </c>
      <c r="H635" s="40"/>
      <c r="I635" s="41"/>
      <c r="J635" s="41"/>
      <c r="K635" s="41"/>
      <c r="L635" s="42"/>
      <c r="M635" s="43"/>
      <c r="N635" s="44"/>
      <c r="O635" s="45"/>
      <c r="P635" s="46" t="str">
        <f>IFERROR(__xludf.DUMMYFUNCTION("IF(OR(AND(C635&lt;&gt;"""", LEN(C635)&lt;3), LEN(C635)&gt;60, AND(D635&lt;&gt;"""", NOT(ISNUMBER(D635))), AND(ISNUMBER(D635), OR(D635&lt;0.01, D635&gt;999999999)), AND(COUNTA(D635:F635, H635:N635)&gt;0, C635=""""),                  
  AND(COUNTA(C635, H635:N635)&gt;0, D635=""""), LEN("&amp;"H635)&gt;50, AND(I635&lt;&gt;"""", NOT(ISNUMBER(I635))), AND(ISNUMBER(I635), OR(I635&lt;0, I635&gt;99998)), AND(L635&lt;&gt;"""", NOT(REGEXMATCH(L635&amp;"""", ""^\d{8,14}$"")))), ""Erro"", """")"),"")</f>
      </c>
    </row>
    <row r="636" ht="15.75" customHeight="true">
      <c r="A636" s="33"/>
      <c r="B636" s="34" t="str">
        <f t="shared" si="1"/>
      </c>
      <c r="C636" s="35"/>
      <c r="D636" s="36"/>
      <c r="E636" s="37"/>
      <c r="F636" s="38"/>
      <c r="G636" s="39" t="str">
        <f t="shared" si="2"/>
      </c>
      <c r="H636" s="40"/>
      <c r="I636" s="41"/>
      <c r="J636" s="41"/>
      <c r="K636" s="41"/>
      <c r="L636" s="42"/>
      <c r="M636" s="43"/>
      <c r="N636" s="44"/>
      <c r="O636" s="45"/>
      <c r="P636" s="46" t="str">
        <f>IFERROR(__xludf.DUMMYFUNCTION("IF(OR(AND(C636&lt;&gt;"""", LEN(C636)&lt;3), LEN(C636)&gt;60, AND(D636&lt;&gt;"""", NOT(ISNUMBER(D636))), AND(ISNUMBER(D636), OR(D636&lt;0.01, D636&gt;999999999)), AND(COUNTA(D636:F636, H636:N636)&gt;0, C636=""""),                  
  AND(COUNTA(C636, H636:N636)&gt;0, D636=""""), LEN("&amp;"H636)&gt;50, AND(I636&lt;&gt;"""", NOT(ISNUMBER(I636))), AND(ISNUMBER(I636), OR(I636&lt;0, I636&gt;99998)), AND(L636&lt;&gt;"""", NOT(REGEXMATCH(L636&amp;"""", ""^\d{8,14}$"")))), ""Erro"", """")"),"")</f>
      </c>
    </row>
    <row r="637" ht="15.75" customHeight="true">
      <c r="A637" s="33"/>
      <c r="B637" s="34" t="str">
        <f t="shared" si="1"/>
      </c>
      <c r="C637" s="35"/>
      <c r="D637" s="36"/>
      <c r="E637" s="37"/>
      <c r="F637" s="38"/>
      <c r="G637" s="39" t="str">
        <f t="shared" si="2"/>
      </c>
      <c r="H637" s="40"/>
      <c r="I637" s="41"/>
      <c r="J637" s="41"/>
      <c r="K637" s="41"/>
      <c r="L637" s="42"/>
      <c r="M637" s="43"/>
      <c r="N637" s="44"/>
      <c r="O637" s="45"/>
      <c r="P637" s="46" t="str">
        <f>IFERROR(__xludf.DUMMYFUNCTION("IF(OR(AND(C637&lt;&gt;"""", LEN(C637)&lt;3), LEN(C637)&gt;60, AND(D637&lt;&gt;"""", NOT(ISNUMBER(D637))), AND(ISNUMBER(D637), OR(D637&lt;0.01, D637&gt;999999999)), AND(COUNTA(D637:F637, H637:N637)&gt;0, C637=""""),                  
  AND(COUNTA(C637, H637:N637)&gt;0, D637=""""), LEN("&amp;"H637)&gt;50, AND(I637&lt;&gt;"""", NOT(ISNUMBER(I637))), AND(ISNUMBER(I637), OR(I637&lt;0, I637&gt;99998)), AND(L637&lt;&gt;"""", NOT(REGEXMATCH(L637&amp;"""", ""^\d{8,14}$"")))), ""Erro"", """")"),"")</f>
      </c>
    </row>
    <row r="638" ht="15.75" customHeight="true">
      <c r="A638" s="33"/>
      <c r="B638" s="34" t="str">
        <f t="shared" si="1"/>
      </c>
      <c r="C638" s="35"/>
      <c r="D638" s="36"/>
      <c r="E638" s="37"/>
      <c r="F638" s="38"/>
      <c r="G638" s="39" t="str">
        <f t="shared" si="2"/>
      </c>
      <c r="H638" s="40"/>
      <c r="I638" s="41"/>
      <c r="J638" s="41"/>
      <c r="K638" s="41"/>
      <c r="L638" s="42"/>
      <c r="M638" s="43"/>
      <c r="N638" s="44"/>
      <c r="O638" s="45"/>
      <c r="P638" s="46" t="str">
        <f>IFERROR(__xludf.DUMMYFUNCTION("IF(OR(AND(C638&lt;&gt;"""", LEN(C638)&lt;3), LEN(C638)&gt;60, AND(D638&lt;&gt;"""", NOT(ISNUMBER(D638))), AND(ISNUMBER(D638), OR(D638&lt;0.01, D638&gt;999999999)), AND(COUNTA(D638:F638, H638:N638)&gt;0, C638=""""),                  
  AND(COUNTA(C638, H638:N638)&gt;0, D638=""""), LEN("&amp;"H638)&gt;50, AND(I638&lt;&gt;"""", NOT(ISNUMBER(I638))), AND(ISNUMBER(I638), OR(I638&lt;0, I638&gt;99998)), AND(L638&lt;&gt;"""", NOT(REGEXMATCH(L638&amp;"""", ""^\d{8,14}$"")))), ""Erro"", """")"),"")</f>
      </c>
    </row>
    <row r="639" ht="15.75" customHeight="true">
      <c r="A639" s="33"/>
      <c r="B639" s="34" t="str">
        <f t="shared" si="1"/>
      </c>
      <c r="C639" s="35"/>
      <c r="D639" s="36"/>
      <c r="E639" s="37"/>
      <c r="F639" s="38"/>
      <c r="G639" s="39" t="str">
        <f t="shared" si="2"/>
      </c>
      <c r="H639" s="40"/>
      <c r="I639" s="41"/>
      <c r="J639" s="41"/>
      <c r="K639" s="41"/>
      <c r="L639" s="42"/>
      <c r="M639" s="43"/>
      <c r="N639" s="44"/>
      <c r="O639" s="45"/>
      <c r="P639" s="46" t="str">
        <f>IFERROR(__xludf.DUMMYFUNCTION("IF(OR(AND(C639&lt;&gt;"""", LEN(C639)&lt;3), LEN(C639)&gt;60, AND(D639&lt;&gt;"""", NOT(ISNUMBER(D639))), AND(ISNUMBER(D639), OR(D639&lt;0.01, D639&gt;999999999)), AND(COUNTA(D639:F639, H639:N639)&gt;0, C639=""""),                  
  AND(COUNTA(C639, H639:N639)&gt;0, D639=""""), LEN("&amp;"H639)&gt;50, AND(I639&lt;&gt;"""", NOT(ISNUMBER(I639))), AND(ISNUMBER(I639), OR(I639&lt;0, I639&gt;99998)), AND(L639&lt;&gt;"""", NOT(REGEXMATCH(L639&amp;"""", ""^\d{8,14}$"")))), ""Erro"", """")"),"")</f>
      </c>
    </row>
    <row r="640" ht="15.75" customHeight="true">
      <c r="A640" s="33"/>
      <c r="B640" s="34" t="str">
        <f t="shared" si="1"/>
      </c>
      <c r="C640" s="35"/>
      <c r="D640" s="36"/>
      <c r="E640" s="37"/>
      <c r="F640" s="38"/>
      <c r="G640" s="39" t="str">
        <f t="shared" si="2"/>
      </c>
      <c r="H640" s="40"/>
      <c r="I640" s="41"/>
      <c r="J640" s="41"/>
      <c r="K640" s="41"/>
      <c r="L640" s="42"/>
      <c r="M640" s="43"/>
      <c r="N640" s="44"/>
      <c r="O640" s="45"/>
      <c r="P640" s="46" t="str">
        <f>IFERROR(__xludf.DUMMYFUNCTION("IF(OR(AND(C640&lt;&gt;"""", LEN(C640)&lt;3), LEN(C640)&gt;60, AND(D640&lt;&gt;"""", NOT(ISNUMBER(D640))), AND(ISNUMBER(D640), OR(D640&lt;0.01, D640&gt;999999999)), AND(COUNTA(D640:F640, H640:N640)&gt;0, C640=""""),                  
  AND(COUNTA(C640, H640:N640)&gt;0, D640=""""), LEN("&amp;"H640)&gt;50, AND(I640&lt;&gt;"""", NOT(ISNUMBER(I640))), AND(ISNUMBER(I640), OR(I640&lt;0, I640&gt;99998)), AND(L640&lt;&gt;"""", NOT(REGEXMATCH(L640&amp;"""", ""^\d{8,14}$"")))), ""Erro"", """")"),"")</f>
      </c>
    </row>
    <row r="641" ht="15.75" customHeight="true">
      <c r="A641" s="33"/>
      <c r="B641" s="34" t="str">
        <f t="shared" si="1"/>
      </c>
      <c r="C641" s="35"/>
      <c r="D641" s="36"/>
      <c r="E641" s="37"/>
      <c r="F641" s="38"/>
      <c r="G641" s="39" t="str">
        <f t="shared" si="2"/>
      </c>
      <c r="H641" s="40"/>
      <c r="I641" s="41"/>
      <c r="J641" s="41"/>
      <c r="K641" s="41"/>
      <c r="L641" s="42"/>
      <c r="M641" s="43"/>
      <c r="N641" s="44"/>
      <c r="O641" s="45"/>
      <c r="P641" s="46" t="str">
        <f>IFERROR(__xludf.DUMMYFUNCTION("IF(OR(AND(C641&lt;&gt;"""", LEN(C641)&lt;3), LEN(C641)&gt;60, AND(D641&lt;&gt;"""", NOT(ISNUMBER(D641))), AND(ISNUMBER(D641), OR(D641&lt;0.01, D641&gt;999999999)), AND(COUNTA(D641:F641, H641:N641)&gt;0, C641=""""),                  
  AND(COUNTA(C641, H641:N641)&gt;0, D641=""""), LEN("&amp;"H641)&gt;50, AND(I641&lt;&gt;"""", NOT(ISNUMBER(I641))), AND(ISNUMBER(I641), OR(I641&lt;0, I641&gt;99998)), AND(L641&lt;&gt;"""", NOT(REGEXMATCH(L641&amp;"""", ""^\d{8,14}$"")))), ""Erro"", """")"),"")</f>
      </c>
    </row>
    <row r="642" ht="15.75" customHeight="true">
      <c r="A642" s="33"/>
      <c r="B642" s="34" t="str">
        <f t="shared" si="1"/>
      </c>
      <c r="C642" s="35"/>
      <c r="D642" s="36"/>
      <c r="E642" s="37"/>
      <c r="F642" s="38"/>
      <c r="G642" s="39" t="str">
        <f t="shared" si="2"/>
      </c>
      <c r="H642" s="40"/>
      <c r="I642" s="41"/>
      <c r="J642" s="41"/>
      <c r="K642" s="41"/>
      <c r="L642" s="42"/>
      <c r="M642" s="43"/>
      <c r="N642" s="44"/>
      <c r="O642" s="45"/>
      <c r="P642" s="46" t="str">
        <f>IFERROR(__xludf.DUMMYFUNCTION("IF(OR(AND(C642&lt;&gt;"""", LEN(C642)&lt;3), LEN(C642)&gt;60, AND(D642&lt;&gt;"""", NOT(ISNUMBER(D642))), AND(ISNUMBER(D642), OR(D642&lt;0.01, D642&gt;999999999)), AND(COUNTA(D642:F642, H642:N642)&gt;0, C642=""""),                  
  AND(COUNTA(C642, H642:N642)&gt;0, D642=""""), LEN("&amp;"H642)&gt;50, AND(I642&lt;&gt;"""", NOT(ISNUMBER(I642))), AND(ISNUMBER(I642), OR(I642&lt;0, I642&gt;99998)), AND(L642&lt;&gt;"""", NOT(REGEXMATCH(L642&amp;"""", ""^\d{8,14}$"")))), ""Erro"", """")"),"")</f>
      </c>
    </row>
    <row r="643" ht="15.75" customHeight="true">
      <c r="A643" s="33"/>
      <c r="B643" s="34" t="str">
        <f t="shared" si="1"/>
      </c>
      <c r="C643" s="35"/>
      <c r="D643" s="36"/>
      <c r="E643" s="37"/>
      <c r="F643" s="38"/>
      <c r="G643" s="39" t="str">
        <f t="shared" si="2"/>
      </c>
      <c r="H643" s="40"/>
      <c r="I643" s="41"/>
      <c r="J643" s="41"/>
      <c r="K643" s="41"/>
      <c r="L643" s="42"/>
      <c r="M643" s="43"/>
      <c r="N643" s="44"/>
      <c r="O643" s="45"/>
      <c r="P643" s="46" t="str">
        <f>IFERROR(__xludf.DUMMYFUNCTION("IF(OR(AND(C643&lt;&gt;"""", LEN(C643)&lt;3), LEN(C643)&gt;60, AND(D643&lt;&gt;"""", NOT(ISNUMBER(D643))), AND(ISNUMBER(D643), OR(D643&lt;0.01, D643&gt;999999999)), AND(COUNTA(D643:F643, H643:N643)&gt;0, C643=""""),                  
  AND(COUNTA(C643, H643:N643)&gt;0, D643=""""), LEN("&amp;"H643)&gt;50, AND(I643&lt;&gt;"""", NOT(ISNUMBER(I643))), AND(ISNUMBER(I643), OR(I643&lt;0, I643&gt;99998)), AND(L643&lt;&gt;"""", NOT(REGEXMATCH(L643&amp;"""", ""^\d{8,14}$"")))), ""Erro"", """")"),"")</f>
      </c>
    </row>
    <row r="644" ht="15.75" customHeight="true">
      <c r="A644" s="33"/>
      <c r="B644" s="34" t="str">
        <f t="shared" si="1"/>
      </c>
      <c r="C644" s="35"/>
      <c r="D644" s="36"/>
      <c r="E644" s="37"/>
      <c r="F644" s="38"/>
      <c r="G644" s="39" t="str">
        <f t="shared" si="2"/>
      </c>
      <c r="H644" s="40"/>
      <c r="I644" s="41"/>
      <c r="J644" s="41"/>
      <c r="K644" s="41"/>
      <c r="L644" s="42"/>
      <c r="M644" s="43"/>
      <c r="N644" s="44"/>
      <c r="O644" s="45"/>
      <c r="P644" s="46" t="str">
        <f>IFERROR(__xludf.DUMMYFUNCTION("IF(OR(AND(C644&lt;&gt;"""", LEN(C644)&lt;3), LEN(C644)&gt;60, AND(D644&lt;&gt;"""", NOT(ISNUMBER(D644))), AND(ISNUMBER(D644), OR(D644&lt;0.01, D644&gt;999999999)), AND(COUNTA(D644:F644, H644:N644)&gt;0, C644=""""),                  
  AND(COUNTA(C644, H644:N644)&gt;0, D644=""""), LEN("&amp;"H644)&gt;50, AND(I644&lt;&gt;"""", NOT(ISNUMBER(I644))), AND(ISNUMBER(I644), OR(I644&lt;0, I644&gt;99998)), AND(L644&lt;&gt;"""", NOT(REGEXMATCH(L644&amp;"""", ""^\d{8,14}$"")))), ""Erro"", """")"),"")</f>
      </c>
    </row>
    <row r="645" ht="15.75" customHeight="true">
      <c r="A645" s="33"/>
      <c r="B645" s="34" t="str">
        <f t="shared" si="1"/>
      </c>
      <c r="C645" s="35"/>
      <c r="D645" s="36"/>
      <c r="E645" s="37"/>
      <c r="F645" s="38"/>
      <c r="G645" s="39" t="str">
        <f t="shared" si="2"/>
      </c>
      <c r="H645" s="40"/>
      <c r="I645" s="41"/>
      <c r="J645" s="41"/>
      <c r="K645" s="41"/>
      <c r="L645" s="42"/>
      <c r="M645" s="43"/>
      <c r="N645" s="44"/>
      <c r="O645" s="45"/>
      <c r="P645" s="46" t="str">
        <f>IFERROR(__xludf.DUMMYFUNCTION("IF(OR(AND(C645&lt;&gt;"""", LEN(C645)&lt;3), LEN(C645)&gt;60, AND(D645&lt;&gt;"""", NOT(ISNUMBER(D645))), AND(ISNUMBER(D645), OR(D645&lt;0.01, D645&gt;999999999)), AND(COUNTA(D645:F645, H645:N645)&gt;0, C645=""""),                  
  AND(COUNTA(C645, H645:N645)&gt;0, D645=""""), LEN("&amp;"H645)&gt;50, AND(I645&lt;&gt;"""", NOT(ISNUMBER(I645))), AND(ISNUMBER(I645), OR(I645&lt;0, I645&gt;99998)), AND(L645&lt;&gt;"""", NOT(REGEXMATCH(L645&amp;"""", ""^\d{8,14}$"")))), ""Erro"", """")"),"")</f>
      </c>
    </row>
    <row r="646" ht="15.75" customHeight="true">
      <c r="A646" s="33"/>
      <c r="B646" s="34" t="str">
        <f t="shared" si="1"/>
      </c>
      <c r="C646" s="35"/>
      <c r="D646" s="36"/>
      <c r="E646" s="37"/>
      <c r="F646" s="38"/>
      <c r="G646" s="39" t="str">
        <f t="shared" si="2"/>
      </c>
      <c r="H646" s="40"/>
      <c r="I646" s="41"/>
      <c r="J646" s="41"/>
      <c r="K646" s="41"/>
      <c r="L646" s="42"/>
      <c r="M646" s="43"/>
      <c r="N646" s="44"/>
      <c r="O646" s="45"/>
      <c r="P646" s="46" t="str">
        <f>IFERROR(__xludf.DUMMYFUNCTION("IF(OR(AND(C646&lt;&gt;"""", LEN(C646)&lt;3), LEN(C646)&gt;60, AND(D646&lt;&gt;"""", NOT(ISNUMBER(D646))), AND(ISNUMBER(D646), OR(D646&lt;0.01, D646&gt;999999999)), AND(COUNTA(D646:F646, H646:N646)&gt;0, C646=""""),                  
  AND(COUNTA(C646, H646:N646)&gt;0, D646=""""), LEN("&amp;"H646)&gt;50, AND(I646&lt;&gt;"""", NOT(ISNUMBER(I646))), AND(ISNUMBER(I646), OR(I646&lt;0, I646&gt;99998)), AND(L646&lt;&gt;"""", NOT(REGEXMATCH(L646&amp;"""", ""^\d{8,14}$"")))), ""Erro"", """")"),"")</f>
      </c>
    </row>
    <row r="647" ht="15.75" customHeight="true">
      <c r="A647" s="33"/>
      <c r="B647" s="34" t="str">
        <f t="shared" si="1"/>
      </c>
      <c r="C647" s="35"/>
      <c r="D647" s="36"/>
      <c r="E647" s="37"/>
      <c r="F647" s="38"/>
      <c r="G647" s="39" t="str">
        <f t="shared" si="2"/>
      </c>
      <c r="H647" s="40"/>
      <c r="I647" s="41"/>
      <c r="J647" s="41"/>
      <c r="K647" s="41"/>
      <c r="L647" s="42"/>
      <c r="M647" s="43"/>
      <c r="N647" s="44"/>
      <c r="O647" s="45"/>
      <c r="P647" s="46" t="str">
        <f>IFERROR(__xludf.DUMMYFUNCTION("IF(OR(AND(C647&lt;&gt;"""", LEN(C647)&lt;3), LEN(C647)&gt;60, AND(D647&lt;&gt;"""", NOT(ISNUMBER(D647))), AND(ISNUMBER(D647), OR(D647&lt;0.01, D647&gt;999999999)), AND(COUNTA(D647:F647, H647:N647)&gt;0, C647=""""),                  
  AND(COUNTA(C647, H647:N647)&gt;0, D647=""""), LEN("&amp;"H647)&gt;50, AND(I647&lt;&gt;"""", NOT(ISNUMBER(I647))), AND(ISNUMBER(I647), OR(I647&lt;0, I647&gt;99998)), AND(L647&lt;&gt;"""", NOT(REGEXMATCH(L647&amp;"""", ""^\d{8,14}$"")))), ""Erro"", """")"),"")</f>
      </c>
    </row>
    <row r="648" ht="15.75" customHeight="true">
      <c r="A648" s="33"/>
      <c r="B648" s="34" t="str">
        <f t="shared" si="1"/>
      </c>
      <c r="C648" s="35"/>
      <c r="D648" s="36"/>
      <c r="E648" s="37"/>
      <c r="F648" s="38"/>
      <c r="G648" s="39" t="str">
        <f t="shared" si="2"/>
      </c>
      <c r="H648" s="40"/>
      <c r="I648" s="41"/>
      <c r="J648" s="41"/>
      <c r="K648" s="41"/>
      <c r="L648" s="42"/>
      <c r="M648" s="43"/>
      <c r="N648" s="44"/>
      <c r="O648" s="45"/>
      <c r="P648" s="46" t="str">
        <f>IFERROR(__xludf.DUMMYFUNCTION("IF(OR(AND(C648&lt;&gt;"""", LEN(C648)&lt;3), LEN(C648)&gt;60, AND(D648&lt;&gt;"""", NOT(ISNUMBER(D648))), AND(ISNUMBER(D648), OR(D648&lt;0.01, D648&gt;999999999)), AND(COUNTA(D648:F648, H648:N648)&gt;0, C648=""""),                  
  AND(COUNTA(C648, H648:N648)&gt;0, D648=""""), LEN("&amp;"H648)&gt;50, AND(I648&lt;&gt;"""", NOT(ISNUMBER(I648))), AND(ISNUMBER(I648), OR(I648&lt;0, I648&gt;99998)), AND(L648&lt;&gt;"""", NOT(REGEXMATCH(L648&amp;"""", ""^\d{8,14}$"")))), ""Erro"", """")"),"")</f>
      </c>
    </row>
    <row r="649" ht="15.75" customHeight="true">
      <c r="A649" s="33"/>
      <c r="B649" s="34" t="str">
        <f t="shared" si="1"/>
      </c>
      <c r="C649" s="35"/>
      <c r="D649" s="36"/>
      <c r="E649" s="37"/>
      <c r="F649" s="38"/>
      <c r="G649" s="39" t="str">
        <f t="shared" si="2"/>
      </c>
      <c r="H649" s="40"/>
      <c r="I649" s="41"/>
      <c r="J649" s="41"/>
      <c r="K649" s="41"/>
      <c r="L649" s="42"/>
      <c r="M649" s="43"/>
      <c r="N649" s="44"/>
      <c r="O649" s="45"/>
      <c r="P649" s="46" t="str">
        <f>IFERROR(__xludf.DUMMYFUNCTION("IF(OR(AND(C649&lt;&gt;"""", LEN(C649)&lt;3), LEN(C649)&gt;60, AND(D649&lt;&gt;"""", NOT(ISNUMBER(D649))), AND(ISNUMBER(D649), OR(D649&lt;0.01, D649&gt;999999999)), AND(COUNTA(D649:F649, H649:N649)&gt;0, C649=""""),                  
  AND(COUNTA(C649, H649:N649)&gt;0, D649=""""), LEN("&amp;"H649)&gt;50, AND(I649&lt;&gt;"""", NOT(ISNUMBER(I649))), AND(ISNUMBER(I649), OR(I649&lt;0, I649&gt;99998)), AND(L649&lt;&gt;"""", NOT(REGEXMATCH(L649&amp;"""", ""^\d{8,14}$"")))), ""Erro"", """")"),"")</f>
      </c>
    </row>
    <row r="650" ht="15.75" customHeight="true">
      <c r="A650" s="33"/>
      <c r="B650" s="34" t="str">
        <f t="shared" si="1"/>
      </c>
      <c r="C650" s="35"/>
      <c r="D650" s="36"/>
      <c r="E650" s="37"/>
      <c r="F650" s="38"/>
      <c r="G650" s="39" t="str">
        <f t="shared" si="2"/>
      </c>
      <c r="H650" s="40"/>
      <c r="I650" s="41"/>
      <c r="J650" s="41"/>
      <c r="K650" s="41"/>
      <c r="L650" s="42"/>
      <c r="M650" s="43"/>
      <c r="N650" s="44"/>
      <c r="O650" s="45"/>
      <c r="P650" s="46" t="str">
        <f>IFERROR(__xludf.DUMMYFUNCTION("IF(OR(AND(C650&lt;&gt;"""", LEN(C650)&lt;3), LEN(C650)&gt;60, AND(D650&lt;&gt;"""", NOT(ISNUMBER(D650))), AND(ISNUMBER(D650), OR(D650&lt;0.01, D650&gt;999999999)), AND(COUNTA(D650:F650, H650:N650)&gt;0, C650=""""),                  
  AND(COUNTA(C650, H650:N650)&gt;0, D650=""""), LEN("&amp;"H650)&gt;50, AND(I650&lt;&gt;"""", NOT(ISNUMBER(I650))), AND(ISNUMBER(I650), OR(I650&lt;0, I650&gt;99998)), AND(L650&lt;&gt;"""", NOT(REGEXMATCH(L650&amp;"""", ""^\d{8,14}$"")))), ""Erro"", """")"),"")</f>
      </c>
    </row>
    <row r="651" ht="15.75" customHeight="true">
      <c r="A651" s="33"/>
      <c r="B651" s="34" t="str">
        <f t="shared" si="1"/>
      </c>
      <c r="C651" s="35"/>
      <c r="D651" s="36"/>
      <c r="E651" s="37"/>
      <c r="F651" s="38"/>
      <c r="G651" s="39" t="str">
        <f t="shared" si="2"/>
      </c>
      <c r="H651" s="40"/>
      <c r="I651" s="41"/>
      <c r="J651" s="41"/>
      <c r="K651" s="41"/>
      <c r="L651" s="42"/>
      <c r="M651" s="43"/>
      <c r="N651" s="44"/>
      <c r="O651" s="45"/>
      <c r="P651" s="46" t="str">
        <f>IFERROR(__xludf.DUMMYFUNCTION("IF(OR(AND(C651&lt;&gt;"""", LEN(C651)&lt;3), LEN(C651)&gt;60, AND(D651&lt;&gt;"""", NOT(ISNUMBER(D651))), AND(ISNUMBER(D651), OR(D651&lt;0.01, D651&gt;999999999)), AND(COUNTA(D651:F651, H651:N651)&gt;0, C651=""""),                  
  AND(COUNTA(C651, H651:N651)&gt;0, D651=""""), LEN("&amp;"H651)&gt;50, AND(I651&lt;&gt;"""", NOT(ISNUMBER(I651))), AND(ISNUMBER(I651), OR(I651&lt;0, I651&gt;99998)), AND(L651&lt;&gt;"""", NOT(REGEXMATCH(L651&amp;"""", ""^\d{8,14}$"")))), ""Erro"", """")"),"")</f>
      </c>
    </row>
    <row r="652" ht="15.75" customHeight="true">
      <c r="A652" s="33"/>
      <c r="B652" s="34" t="str">
        <f t="shared" si="1"/>
      </c>
      <c r="C652" s="35"/>
      <c r="D652" s="36"/>
      <c r="E652" s="37"/>
      <c r="F652" s="38"/>
      <c r="G652" s="39" t="str">
        <f t="shared" si="2"/>
      </c>
      <c r="H652" s="40"/>
      <c r="I652" s="41"/>
      <c r="J652" s="41"/>
      <c r="K652" s="41"/>
      <c r="L652" s="42"/>
      <c r="M652" s="43"/>
      <c r="N652" s="44"/>
      <c r="O652" s="45"/>
      <c r="P652" s="46" t="str">
        <f>IFERROR(__xludf.DUMMYFUNCTION("IF(OR(AND(C652&lt;&gt;"""", LEN(C652)&lt;3), LEN(C652)&gt;60, AND(D652&lt;&gt;"""", NOT(ISNUMBER(D652))), AND(ISNUMBER(D652), OR(D652&lt;0.01, D652&gt;999999999)), AND(COUNTA(D652:F652, H652:N652)&gt;0, C652=""""),                  
  AND(COUNTA(C652, H652:N652)&gt;0, D652=""""), LEN("&amp;"H652)&gt;50, AND(I652&lt;&gt;"""", NOT(ISNUMBER(I652))), AND(ISNUMBER(I652), OR(I652&lt;0, I652&gt;99998)), AND(L652&lt;&gt;"""", NOT(REGEXMATCH(L652&amp;"""", ""^\d{8,14}$"")))), ""Erro"", """")"),"")</f>
      </c>
    </row>
    <row r="653" ht="15.75" customHeight="true">
      <c r="A653" s="33"/>
      <c r="B653" s="34" t="str">
        <f t="shared" si="1"/>
      </c>
      <c r="C653" s="35"/>
      <c r="D653" s="36"/>
      <c r="E653" s="37"/>
      <c r="F653" s="38"/>
      <c r="G653" s="39" t="str">
        <f t="shared" si="2"/>
      </c>
      <c r="H653" s="40"/>
      <c r="I653" s="41"/>
      <c r="J653" s="41"/>
      <c r="K653" s="41"/>
      <c r="L653" s="42"/>
      <c r="M653" s="43"/>
      <c r="N653" s="44"/>
      <c r="O653" s="45"/>
      <c r="P653" s="46" t="str">
        <f>IFERROR(__xludf.DUMMYFUNCTION("IF(OR(AND(C653&lt;&gt;"""", LEN(C653)&lt;3), LEN(C653)&gt;60, AND(D653&lt;&gt;"""", NOT(ISNUMBER(D653))), AND(ISNUMBER(D653), OR(D653&lt;0.01, D653&gt;999999999)), AND(COUNTA(D653:F653, H653:N653)&gt;0, C653=""""),                  
  AND(COUNTA(C653, H653:N653)&gt;0, D653=""""), LEN("&amp;"H653)&gt;50, AND(I653&lt;&gt;"""", NOT(ISNUMBER(I653))), AND(ISNUMBER(I653), OR(I653&lt;0, I653&gt;99998)), AND(L653&lt;&gt;"""", NOT(REGEXMATCH(L653&amp;"""", ""^\d{8,14}$"")))), ""Erro"", """")"),"")</f>
      </c>
    </row>
    <row r="654" ht="15.75" customHeight="true">
      <c r="A654" s="33"/>
      <c r="B654" s="34" t="str">
        <f t="shared" si="1"/>
      </c>
      <c r="C654" s="35"/>
      <c r="D654" s="36"/>
      <c r="E654" s="37"/>
      <c r="F654" s="38"/>
      <c r="G654" s="39" t="str">
        <f t="shared" si="2"/>
      </c>
      <c r="H654" s="40"/>
      <c r="I654" s="41"/>
      <c r="J654" s="41"/>
      <c r="K654" s="41"/>
      <c r="L654" s="42"/>
      <c r="M654" s="43"/>
      <c r="N654" s="44"/>
      <c r="O654" s="45"/>
      <c r="P654" s="46" t="str">
        <f>IFERROR(__xludf.DUMMYFUNCTION("IF(OR(AND(C654&lt;&gt;"""", LEN(C654)&lt;3), LEN(C654)&gt;60, AND(D654&lt;&gt;"""", NOT(ISNUMBER(D654))), AND(ISNUMBER(D654), OR(D654&lt;0.01, D654&gt;999999999)), AND(COUNTA(D654:F654, H654:N654)&gt;0, C654=""""),                  
  AND(COUNTA(C654, H654:N654)&gt;0, D654=""""), LEN("&amp;"H654)&gt;50, AND(I654&lt;&gt;"""", NOT(ISNUMBER(I654))), AND(ISNUMBER(I654), OR(I654&lt;0, I654&gt;99998)), AND(L654&lt;&gt;"""", NOT(REGEXMATCH(L654&amp;"""", ""^\d{8,14}$"")))), ""Erro"", """")"),"")</f>
      </c>
    </row>
    <row r="655" ht="15.75" customHeight="true">
      <c r="A655" s="33"/>
      <c r="B655" s="34" t="str">
        <f t="shared" si="1"/>
      </c>
      <c r="C655" s="35"/>
      <c r="D655" s="36"/>
      <c r="E655" s="37"/>
      <c r="F655" s="38"/>
      <c r="G655" s="39" t="str">
        <f t="shared" si="2"/>
      </c>
      <c r="H655" s="40"/>
      <c r="I655" s="41"/>
      <c r="J655" s="41"/>
      <c r="K655" s="41"/>
      <c r="L655" s="42"/>
      <c r="M655" s="43"/>
      <c r="N655" s="44"/>
      <c r="O655" s="45"/>
      <c r="P655" s="46" t="str">
        <f>IFERROR(__xludf.DUMMYFUNCTION("IF(OR(AND(C655&lt;&gt;"""", LEN(C655)&lt;3), LEN(C655)&gt;60, AND(D655&lt;&gt;"""", NOT(ISNUMBER(D655))), AND(ISNUMBER(D655), OR(D655&lt;0.01, D655&gt;999999999)), AND(COUNTA(D655:F655, H655:N655)&gt;0, C655=""""),                  
  AND(COUNTA(C655, H655:N655)&gt;0, D655=""""), LEN("&amp;"H655)&gt;50, AND(I655&lt;&gt;"""", NOT(ISNUMBER(I655))), AND(ISNUMBER(I655), OR(I655&lt;0, I655&gt;99998)), AND(L655&lt;&gt;"""", NOT(REGEXMATCH(L655&amp;"""", ""^\d{8,14}$"")))), ""Erro"", """")"),"")</f>
      </c>
    </row>
    <row r="656" ht="15.75" customHeight="true">
      <c r="A656" s="33"/>
      <c r="B656" s="34" t="str">
        <f t="shared" si="1"/>
      </c>
      <c r="C656" s="35"/>
      <c r="D656" s="36"/>
      <c r="E656" s="37"/>
      <c r="F656" s="38"/>
      <c r="G656" s="39" t="str">
        <f t="shared" si="2"/>
      </c>
      <c r="H656" s="40"/>
      <c r="I656" s="41"/>
      <c r="J656" s="41"/>
      <c r="K656" s="41"/>
      <c r="L656" s="42"/>
      <c r="M656" s="43"/>
      <c r="N656" s="44"/>
      <c r="O656" s="45"/>
      <c r="P656" s="46" t="str">
        <f>IFERROR(__xludf.DUMMYFUNCTION("IF(OR(AND(C656&lt;&gt;"""", LEN(C656)&lt;3), LEN(C656)&gt;60, AND(D656&lt;&gt;"""", NOT(ISNUMBER(D656))), AND(ISNUMBER(D656), OR(D656&lt;0.01, D656&gt;999999999)), AND(COUNTA(D656:F656, H656:N656)&gt;0, C656=""""),                  
  AND(COUNTA(C656, H656:N656)&gt;0, D656=""""), LEN("&amp;"H656)&gt;50, AND(I656&lt;&gt;"""", NOT(ISNUMBER(I656))), AND(ISNUMBER(I656), OR(I656&lt;0, I656&gt;99998)), AND(L656&lt;&gt;"""", NOT(REGEXMATCH(L656&amp;"""", ""^\d{8,14}$"")))), ""Erro"", """")"),"")</f>
      </c>
    </row>
    <row r="657" ht="15.75" customHeight="true">
      <c r="A657" s="33"/>
      <c r="B657" s="34" t="str">
        <f t="shared" si="1"/>
      </c>
      <c r="C657" s="35"/>
      <c r="D657" s="36"/>
      <c r="E657" s="37"/>
      <c r="F657" s="38"/>
      <c r="G657" s="39" t="str">
        <f t="shared" si="2"/>
      </c>
      <c r="H657" s="40"/>
      <c r="I657" s="41"/>
      <c r="J657" s="41"/>
      <c r="K657" s="41"/>
      <c r="L657" s="42"/>
      <c r="M657" s="43"/>
      <c r="N657" s="44"/>
      <c r="O657" s="45"/>
      <c r="P657" s="46" t="str">
        <f>IFERROR(__xludf.DUMMYFUNCTION("IF(OR(AND(C657&lt;&gt;"""", LEN(C657)&lt;3), LEN(C657)&gt;60, AND(D657&lt;&gt;"""", NOT(ISNUMBER(D657))), AND(ISNUMBER(D657), OR(D657&lt;0.01, D657&gt;999999999)), AND(COUNTA(D657:F657, H657:N657)&gt;0, C657=""""),                  
  AND(COUNTA(C657, H657:N657)&gt;0, D657=""""), LEN("&amp;"H657)&gt;50, AND(I657&lt;&gt;"""", NOT(ISNUMBER(I657))), AND(ISNUMBER(I657), OR(I657&lt;0, I657&gt;99998)), AND(L657&lt;&gt;"""", NOT(REGEXMATCH(L657&amp;"""", ""^\d{8,14}$"")))), ""Erro"", """")"),"")</f>
      </c>
    </row>
    <row r="658" ht="15.75" customHeight="true">
      <c r="A658" s="33"/>
      <c r="B658" s="34" t="str">
        <f t="shared" si="1"/>
      </c>
      <c r="C658" s="35"/>
      <c r="D658" s="36"/>
      <c r="E658" s="37"/>
      <c r="F658" s="38"/>
      <c r="G658" s="39" t="str">
        <f t="shared" si="2"/>
      </c>
      <c r="H658" s="40"/>
      <c r="I658" s="41"/>
      <c r="J658" s="41"/>
      <c r="K658" s="41"/>
      <c r="L658" s="42"/>
      <c r="M658" s="43"/>
      <c r="N658" s="44"/>
      <c r="O658" s="45"/>
      <c r="P658" s="46" t="str">
        <f>IFERROR(__xludf.DUMMYFUNCTION("IF(OR(AND(C658&lt;&gt;"""", LEN(C658)&lt;3), LEN(C658)&gt;60, AND(D658&lt;&gt;"""", NOT(ISNUMBER(D658))), AND(ISNUMBER(D658), OR(D658&lt;0.01, D658&gt;999999999)), AND(COUNTA(D658:F658, H658:N658)&gt;0, C658=""""),                  
  AND(COUNTA(C658, H658:N658)&gt;0, D658=""""), LEN("&amp;"H658)&gt;50, AND(I658&lt;&gt;"""", NOT(ISNUMBER(I658))), AND(ISNUMBER(I658), OR(I658&lt;0, I658&gt;99998)), AND(L658&lt;&gt;"""", NOT(REGEXMATCH(L658&amp;"""", ""^\d{8,14}$"")))), ""Erro"", """")"),"")</f>
      </c>
    </row>
    <row r="659" ht="15.75" customHeight="true">
      <c r="A659" s="33"/>
      <c r="B659" s="34" t="str">
        <f t="shared" si="1"/>
      </c>
      <c r="C659" s="35"/>
      <c r="D659" s="36"/>
      <c r="E659" s="37"/>
      <c r="F659" s="38"/>
      <c r="G659" s="39" t="str">
        <f t="shared" si="2"/>
      </c>
      <c r="H659" s="40"/>
      <c r="I659" s="41"/>
      <c r="J659" s="41"/>
      <c r="K659" s="41"/>
      <c r="L659" s="42"/>
      <c r="M659" s="43"/>
      <c r="N659" s="44"/>
      <c r="O659" s="45"/>
      <c r="P659" s="46" t="str">
        <f>IFERROR(__xludf.DUMMYFUNCTION("IF(OR(AND(C659&lt;&gt;"""", LEN(C659)&lt;3), LEN(C659)&gt;60, AND(D659&lt;&gt;"""", NOT(ISNUMBER(D659))), AND(ISNUMBER(D659), OR(D659&lt;0.01, D659&gt;999999999)), AND(COUNTA(D659:F659, H659:N659)&gt;0, C659=""""),                  
  AND(COUNTA(C659, H659:N659)&gt;0, D659=""""), LEN("&amp;"H659)&gt;50, AND(I659&lt;&gt;"""", NOT(ISNUMBER(I659))), AND(ISNUMBER(I659), OR(I659&lt;0, I659&gt;99998)), AND(L659&lt;&gt;"""", NOT(REGEXMATCH(L659&amp;"""", ""^\d{8,14}$"")))), ""Erro"", """")"),"")</f>
      </c>
    </row>
    <row r="660" ht="15.75" customHeight="true">
      <c r="A660" s="33"/>
      <c r="B660" s="34" t="str">
        <f t="shared" si="1"/>
      </c>
      <c r="C660" s="35"/>
      <c r="D660" s="36"/>
      <c r="E660" s="37"/>
      <c r="F660" s="38"/>
      <c r="G660" s="39" t="str">
        <f t="shared" si="2"/>
      </c>
      <c r="H660" s="40"/>
      <c r="I660" s="41"/>
      <c r="J660" s="41"/>
      <c r="K660" s="41"/>
      <c r="L660" s="42"/>
      <c r="M660" s="43"/>
      <c r="N660" s="44"/>
      <c r="O660" s="45"/>
      <c r="P660" s="46" t="str">
        <f>IFERROR(__xludf.DUMMYFUNCTION("IF(OR(AND(C660&lt;&gt;"""", LEN(C660)&lt;3), LEN(C660)&gt;60, AND(D660&lt;&gt;"""", NOT(ISNUMBER(D660))), AND(ISNUMBER(D660), OR(D660&lt;0.01, D660&gt;999999999)), AND(COUNTA(D660:F660, H660:N660)&gt;0, C660=""""),                  
  AND(COUNTA(C660, H660:N660)&gt;0, D660=""""), LEN("&amp;"H660)&gt;50, AND(I660&lt;&gt;"""", NOT(ISNUMBER(I660))), AND(ISNUMBER(I660), OR(I660&lt;0, I660&gt;99998)), AND(L660&lt;&gt;"""", NOT(REGEXMATCH(L660&amp;"""", ""^\d{8,14}$"")))), ""Erro"", """")"),"")</f>
      </c>
    </row>
    <row r="661" ht="15.75" customHeight="true">
      <c r="A661" s="33"/>
      <c r="B661" s="34" t="str">
        <f t="shared" si="1"/>
      </c>
      <c r="C661" s="35"/>
      <c r="D661" s="36"/>
      <c r="E661" s="37"/>
      <c r="F661" s="38"/>
      <c r="G661" s="39" t="str">
        <f t="shared" si="2"/>
      </c>
      <c r="H661" s="40"/>
      <c r="I661" s="41"/>
      <c r="J661" s="41"/>
      <c r="K661" s="41"/>
      <c r="L661" s="42"/>
      <c r="M661" s="43"/>
      <c r="N661" s="44"/>
      <c r="O661" s="45"/>
      <c r="P661" s="46" t="str">
        <f>IFERROR(__xludf.DUMMYFUNCTION("IF(OR(AND(C661&lt;&gt;"""", LEN(C661)&lt;3), LEN(C661)&gt;60, AND(D661&lt;&gt;"""", NOT(ISNUMBER(D661))), AND(ISNUMBER(D661), OR(D661&lt;0.01, D661&gt;999999999)), AND(COUNTA(D661:F661, H661:N661)&gt;0, C661=""""),                  
  AND(COUNTA(C661, H661:N661)&gt;0, D661=""""), LEN("&amp;"H661)&gt;50, AND(I661&lt;&gt;"""", NOT(ISNUMBER(I661))), AND(ISNUMBER(I661), OR(I661&lt;0, I661&gt;99998)), AND(L661&lt;&gt;"""", NOT(REGEXMATCH(L661&amp;"""", ""^\d{8,14}$"")))), ""Erro"", """")"),"")</f>
      </c>
    </row>
    <row r="662" ht="15.75" customHeight="true">
      <c r="A662" s="33"/>
      <c r="B662" s="34" t="str">
        <f t="shared" si="1"/>
      </c>
      <c r="C662" s="35"/>
      <c r="D662" s="36"/>
      <c r="E662" s="37"/>
      <c r="F662" s="38"/>
      <c r="G662" s="39" t="str">
        <f t="shared" si="2"/>
      </c>
      <c r="H662" s="40"/>
      <c r="I662" s="41"/>
      <c r="J662" s="41"/>
      <c r="K662" s="41"/>
      <c r="L662" s="42"/>
      <c r="M662" s="43"/>
      <c r="N662" s="44"/>
      <c r="O662" s="45"/>
      <c r="P662" s="46" t="str">
        <f>IFERROR(__xludf.DUMMYFUNCTION("IF(OR(AND(C662&lt;&gt;"""", LEN(C662)&lt;3), LEN(C662)&gt;60, AND(D662&lt;&gt;"""", NOT(ISNUMBER(D662))), AND(ISNUMBER(D662), OR(D662&lt;0.01, D662&gt;999999999)), AND(COUNTA(D662:F662, H662:N662)&gt;0, C662=""""),                  
  AND(COUNTA(C662, H662:N662)&gt;0, D662=""""), LEN("&amp;"H662)&gt;50, AND(I662&lt;&gt;"""", NOT(ISNUMBER(I662))), AND(ISNUMBER(I662), OR(I662&lt;0, I662&gt;99998)), AND(L662&lt;&gt;"""", NOT(REGEXMATCH(L662&amp;"""", ""^\d{8,14}$"")))), ""Erro"", """")"),"")</f>
      </c>
    </row>
    <row r="663" ht="15.75" customHeight="true">
      <c r="A663" s="33"/>
      <c r="B663" s="34" t="str">
        <f t="shared" si="1"/>
      </c>
      <c r="C663" s="35"/>
      <c r="D663" s="36"/>
      <c r="E663" s="37"/>
      <c r="F663" s="38"/>
      <c r="G663" s="39" t="str">
        <f t="shared" si="2"/>
      </c>
      <c r="H663" s="40"/>
      <c r="I663" s="41"/>
      <c r="J663" s="41"/>
      <c r="K663" s="41"/>
      <c r="L663" s="42"/>
      <c r="M663" s="43"/>
      <c r="N663" s="44"/>
      <c r="O663" s="45"/>
      <c r="P663" s="46" t="str">
        <f>IFERROR(__xludf.DUMMYFUNCTION("IF(OR(AND(C663&lt;&gt;"""", LEN(C663)&lt;3), LEN(C663)&gt;60, AND(D663&lt;&gt;"""", NOT(ISNUMBER(D663))), AND(ISNUMBER(D663), OR(D663&lt;0.01, D663&gt;999999999)), AND(COUNTA(D663:F663, H663:N663)&gt;0, C663=""""),                  
  AND(COUNTA(C663, H663:N663)&gt;0, D663=""""), LEN("&amp;"H663)&gt;50, AND(I663&lt;&gt;"""", NOT(ISNUMBER(I663))), AND(ISNUMBER(I663), OR(I663&lt;0, I663&gt;99998)), AND(L663&lt;&gt;"""", NOT(REGEXMATCH(L663&amp;"""", ""^\d{8,14}$"")))), ""Erro"", """")"),"")</f>
      </c>
    </row>
    <row r="664" ht="15.75" customHeight="true">
      <c r="A664" s="33"/>
      <c r="B664" s="34" t="str">
        <f t="shared" si="1"/>
      </c>
      <c r="C664" s="35"/>
      <c r="D664" s="36"/>
      <c r="E664" s="37"/>
      <c r="F664" s="38"/>
      <c r="G664" s="39" t="str">
        <f t="shared" si="2"/>
      </c>
      <c r="H664" s="40"/>
      <c r="I664" s="41"/>
      <c r="J664" s="41"/>
      <c r="K664" s="41"/>
      <c r="L664" s="42"/>
      <c r="M664" s="43"/>
      <c r="N664" s="44"/>
      <c r="O664" s="45"/>
      <c r="P664" s="46" t="str">
        <f>IFERROR(__xludf.DUMMYFUNCTION("IF(OR(AND(C664&lt;&gt;"""", LEN(C664)&lt;3), LEN(C664)&gt;60, AND(D664&lt;&gt;"""", NOT(ISNUMBER(D664))), AND(ISNUMBER(D664), OR(D664&lt;0.01, D664&gt;999999999)), AND(COUNTA(D664:F664, H664:N664)&gt;0, C664=""""),                  
  AND(COUNTA(C664, H664:N664)&gt;0, D664=""""), LEN("&amp;"H664)&gt;50, AND(I664&lt;&gt;"""", NOT(ISNUMBER(I664))), AND(ISNUMBER(I664), OR(I664&lt;0, I664&gt;99998)), AND(L664&lt;&gt;"""", NOT(REGEXMATCH(L664&amp;"""", ""^\d{8,14}$"")))), ""Erro"", """")"),"")</f>
      </c>
    </row>
    <row r="665" ht="15.75" customHeight="true">
      <c r="A665" s="33"/>
      <c r="B665" s="34" t="str">
        <f t="shared" si="1"/>
      </c>
      <c r="C665" s="35"/>
      <c r="D665" s="36"/>
      <c r="E665" s="37"/>
      <c r="F665" s="38"/>
      <c r="G665" s="39" t="str">
        <f t="shared" si="2"/>
      </c>
      <c r="H665" s="40"/>
      <c r="I665" s="41"/>
      <c r="J665" s="41"/>
      <c r="K665" s="41"/>
      <c r="L665" s="42"/>
      <c r="M665" s="43"/>
      <c r="N665" s="44"/>
      <c r="O665" s="45"/>
      <c r="P665" s="46" t="str">
        <f>IFERROR(__xludf.DUMMYFUNCTION("IF(OR(AND(C665&lt;&gt;"""", LEN(C665)&lt;3), LEN(C665)&gt;60, AND(D665&lt;&gt;"""", NOT(ISNUMBER(D665))), AND(ISNUMBER(D665), OR(D665&lt;0.01, D665&gt;999999999)), AND(COUNTA(D665:F665, H665:N665)&gt;0, C665=""""),                  
  AND(COUNTA(C665, H665:N665)&gt;0, D665=""""), LEN("&amp;"H665)&gt;50, AND(I665&lt;&gt;"""", NOT(ISNUMBER(I665))), AND(ISNUMBER(I665), OR(I665&lt;0, I665&gt;99998)), AND(L665&lt;&gt;"""", NOT(REGEXMATCH(L665&amp;"""", ""^\d{8,14}$"")))), ""Erro"", """")"),"")</f>
      </c>
    </row>
    <row r="666" ht="15.75" customHeight="true">
      <c r="A666" s="33"/>
      <c r="B666" s="34" t="str">
        <f t="shared" si="1"/>
      </c>
      <c r="C666" s="35"/>
      <c r="D666" s="36"/>
      <c r="E666" s="37"/>
      <c r="F666" s="38"/>
      <c r="G666" s="39" t="str">
        <f t="shared" si="2"/>
      </c>
      <c r="H666" s="40"/>
      <c r="I666" s="41"/>
      <c r="J666" s="41"/>
      <c r="K666" s="41"/>
      <c r="L666" s="42"/>
      <c r="M666" s="43"/>
      <c r="N666" s="44"/>
      <c r="O666" s="45"/>
      <c r="P666" s="46" t="str">
        <f>IFERROR(__xludf.DUMMYFUNCTION("IF(OR(AND(C666&lt;&gt;"""", LEN(C666)&lt;3), LEN(C666)&gt;60, AND(D666&lt;&gt;"""", NOT(ISNUMBER(D666))), AND(ISNUMBER(D666), OR(D666&lt;0.01, D666&gt;999999999)), AND(COUNTA(D666:F666, H666:N666)&gt;0, C666=""""),                  
  AND(COUNTA(C666, H666:N666)&gt;0, D666=""""), LEN("&amp;"H666)&gt;50, AND(I666&lt;&gt;"""", NOT(ISNUMBER(I666))), AND(ISNUMBER(I666), OR(I666&lt;0, I666&gt;99998)), AND(L666&lt;&gt;"""", NOT(REGEXMATCH(L666&amp;"""", ""^\d{8,14}$"")))), ""Erro"", """")"),"")</f>
      </c>
    </row>
    <row r="667" ht="15.75" customHeight="true">
      <c r="A667" s="33"/>
      <c r="B667" s="34" t="str">
        <f t="shared" si="1"/>
      </c>
      <c r="C667" s="35"/>
      <c r="D667" s="36"/>
      <c r="E667" s="37"/>
      <c r="F667" s="38"/>
      <c r="G667" s="39" t="str">
        <f t="shared" si="2"/>
      </c>
      <c r="H667" s="40"/>
      <c r="I667" s="41"/>
      <c r="J667" s="41"/>
      <c r="K667" s="41"/>
      <c r="L667" s="42"/>
      <c r="M667" s="43"/>
      <c r="N667" s="44"/>
      <c r="O667" s="45"/>
      <c r="P667" s="46" t="str">
        <f>IFERROR(__xludf.DUMMYFUNCTION("IF(OR(AND(C667&lt;&gt;"""", LEN(C667)&lt;3), LEN(C667)&gt;60, AND(D667&lt;&gt;"""", NOT(ISNUMBER(D667))), AND(ISNUMBER(D667), OR(D667&lt;0.01, D667&gt;999999999)), AND(COUNTA(D667:F667, H667:N667)&gt;0, C667=""""),                  
  AND(COUNTA(C667, H667:N667)&gt;0, D667=""""), LEN("&amp;"H667)&gt;50, AND(I667&lt;&gt;"""", NOT(ISNUMBER(I667))), AND(ISNUMBER(I667), OR(I667&lt;0, I667&gt;99998)), AND(L667&lt;&gt;"""", NOT(REGEXMATCH(L667&amp;"""", ""^\d{8,14}$"")))), ""Erro"", """")"),"")</f>
      </c>
    </row>
    <row r="668" ht="15.75" customHeight="true">
      <c r="A668" s="33"/>
      <c r="B668" s="34" t="str">
        <f t="shared" si="1"/>
      </c>
      <c r="C668" s="35"/>
      <c r="D668" s="36"/>
      <c r="E668" s="37"/>
      <c r="F668" s="38"/>
      <c r="G668" s="39" t="str">
        <f t="shared" si="2"/>
      </c>
      <c r="H668" s="40"/>
      <c r="I668" s="41"/>
      <c r="J668" s="41"/>
      <c r="K668" s="41"/>
      <c r="L668" s="42"/>
      <c r="M668" s="43"/>
      <c r="N668" s="44"/>
      <c r="O668" s="45"/>
      <c r="P668" s="46" t="str">
        <f>IFERROR(__xludf.DUMMYFUNCTION("IF(OR(AND(C668&lt;&gt;"""", LEN(C668)&lt;3), LEN(C668)&gt;60, AND(D668&lt;&gt;"""", NOT(ISNUMBER(D668))), AND(ISNUMBER(D668), OR(D668&lt;0.01, D668&gt;999999999)), AND(COUNTA(D668:F668, H668:N668)&gt;0, C668=""""),                  
  AND(COUNTA(C668, H668:N668)&gt;0, D668=""""), LEN("&amp;"H668)&gt;50, AND(I668&lt;&gt;"""", NOT(ISNUMBER(I668))), AND(ISNUMBER(I668), OR(I668&lt;0, I668&gt;99998)), AND(L668&lt;&gt;"""", NOT(REGEXMATCH(L668&amp;"""", ""^\d{8,14}$"")))), ""Erro"", """")"),"")</f>
      </c>
    </row>
    <row r="669" ht="15.75" customHeight="true">
      <c r="A669" s="33"/>
      <c r="B669" s="34" t="str">
        <f t="shared" si="1"/>
      </c>
      <c r="C669" s="35"/>
      <c r="D669" s="36"/>
      <c r="E669" s="37"/>
      <c r="F669" s="38"/>
      <c r="G669" s="39" t="str">
        <f t="shared" si="2"/>
      </c>
      <c r="H669" s="40"/>
      <c r="I669" s="41"/>
      <c r="J669" s="41"/>
      <c r="K669" s="41"/>
      <c r="L669" s="42"/>
      <c r="M669" s="43"/>
      <c r="N669" s="44"/>
      <c r="O669" s="45"/>
      <c r="P669" s="46" t="str">
        <f>IFERROR(__xludf.DUMMYFUNCTION("IF(OR(AND(C669&lt;&gt;"""", LEN(C669)&lt;3), LEN(C669)&gt;60, AND(D669&lt;&gt;"""", NOT(ISNUMBER(D669))), AND(ISNUMBER(D669), OR(D669&lt;0.01, D669&gt;999999999)), AND(COUNTA(D669:F669, H669:N669)&gt;0, C669=""""),                  
  AND(COUNTA(C669, H669:N669)&gt;0, D669=""""), LEN("&amp;"H669)&gt;50, AND(I669&lt;&gt;"""", NOT(ISNUMBER(I669))), AND(ISNUMBER(I669), OR(I669&lt;0, I669&gt;99998)), AND(L669&lt;&gt;"""", NOT(REGEXMATCH(L669&amp;"""", ""^\d{8,14}$"")))), ""Erro"", """")"),"")</f>
      </c>
    </row>
    <row r="670" ht="15.75" customHeight="true">
      <c r="A670" s="33"/>
      <c r="B670" s="34" t="str">
        <f t="shared" si="1"/>
      </c>
      <c r="C670" s="35"/>
      <c r="D670" s="36"/>
      <c r="E670" s="37"/>
      <c r="F670" s="38"/>
      <c r="G670" s="39" t="str">
        <f t="shared" si="2"/>
      </c>
      <c r="H670" s="40"/>
      <c r="I670" s="41"/>
      <c r="J670" s="41"/>
      <c r="K670" s="41"/>
      <c r="L670" s="42"/>
      <c r="M670" s="43"/>
      <c r="N670" s="44"/>
      <c r="O670" s="45"/>
      <c r="P670" s="46" t="str">
        <f>IFERROR(__xludf.DUMMYFUNCTION("IF(OR(AND(C670&lt;&gt;"""", LEN(C670)&lt;3), LEN(C670)&gt;60, AND(D670&lt;&gt;"""", NOT(ISNUMBER(D670))), AND(ISNUMBER(D670), OR(D670&lt;0.01, D670&gt;999999999)), AND(COUNTA(D670:F670, H670:N670)&gt;0, C670=""""),                  
  AND(COUNTA(C670, H670:N670)&gt;0, D670=""""), LEN("&amp;"H670)&gt;50, AND(I670&lt;&gt;"""", NOT(ISNUMBER(I670))), AND(ISNUMBER(I670), OR(I670&lt;0, I670&gt;99998)), AND(L670&lt;&gt;"""", NOT(REGEXMATCH(L670&amp;"""", ""^\d{8,14}$"")))), ""Erro"", """")"),"")</f>
      </c>
    </row>
    <row r="671" ht="15.75" customHeight="true">
      <c r="A671" s="33"/>
      <c r="B671" s="34" t="str">
        <f t="shared" si="1"/>
      </c>
      <c r="C671" s="35"/>
      <c r="D671" s="36"/>
      <c r="E671" s="37"/>
      <c r="F671" s="38"/>
      <c r="G671" s="39" t="str">
        <f t="shared" si="2"/>
      </c>
      <c r="H671" s="40"/>
      <c r="I671" s="41"/>
      <c r="J671" s="41"/>
      <c r="K671" s="41"/>
      <c r="L671" s="42"/>
      <c r="M671" s="43"/>
      <c r="N671" s="44"/>
      <c r="O671" s="45"/>
      <c r="P671" s="46" t="str">
        <f>IFERROR(__xludf.DUMMYFUNCTION("IF(OR(AND(C671&lt;&gt;"""", LEN(C671)&lt;3), LEN(C671)&gt;60, AND(D671&lt;&gt;"""", NOT(ISNUMBER(D671))), AND(ISNUMBER(D671), OR(D671&lt;0.01, D671&gt;999999999)), AND(COUNTA(D671:F671, H671:N671)&gt;0, C671=""""),                  
  AND(COUNTA(C671, H671:N671)&gt;0, D671=""""), LEN("&amp;"H671)&gt;50, AND(I671&lt;&gt;"""", NOT(ISNUMBER(I671))), AND(ISNUMBER(I671), OR(I671&lt;0, I671&gt;99998)), AND(L671&lt;&gt;"""", NOT(REGEXMATCH(L671&amp;"""", ""^\d{8,14}$"")))), ""Erro"", """")"),"")</f>
      </c>
    </row>
    <row r="672" ht="15.75" customHeight="true">
      <c r="A672" s="33"/>
      <c r="B672" s="34" t="str">
        <f t="shared" si="1"/>
      </c>
      <c r="C672" s="35"/>
      <c r="D672" s="36"/>
      <c r="E672" s="37"/>
      <c r="F672" s="38"/>
      <c r="G672" s="39" t="str">
        <f t="shared" si="2"/>
      </c>
      <c r="H672" s="40"/>
      <c r="I672" s="41"/>
      <c r="J672" s="41"/>
      <c r="K672" s="41"/>
      <c r="L672" s="42"/>
      <c r="M672" s="43"/>
      <c r="N672" s="44"/>
      <c r="O672" s="45"/>
      <c r="P672" s="46" t="str">
        <f>IFERROR(__xludf.DUMMYFUNCTION("IF(OR(AND(C672&lt;&gt;"""", LEN(C672)&lt;3), LEN(C672)&gt;60, AND(D672&lt;&gt;"""", NOT(ISNUMBER(D672))), AND(ISNUMBER(D672), OR(D672&lt;0.01, D672&gt;999999999)), AND(COUNTA(D672:F672, H672:N672)&gt;0, C672=""""),                  
  AND(COUNTA(C672, H672:N672)&gt;0, D672=""""), LEN("&amp;"H672)&gt;50, AND(I672&lt;&gt;"""", NOT(ISNUMBER(I672))), AND(ISNUMBER(I672), OR(I672&lt;0, I672&gt;99998)), AND(L672&lt;&gt;"""", NOT(REGEXMATCH(L672&amp;"""", ""^\d{8,14}$"")))), ""Erro"", """")"),"")</f>
      </c>
    </row>
    <row r="673" ht="15.75" customHeight="true">
      <c r="A673" s="33"/>
      <c r="B673" s="34" t="str">
        <f t="shared" si="1"/>
      </c>
      <c r="C673" s="35"/>
      <c r="D673" s="36"/>
      <c r="E673" s="37"/>
      <c r="F673" s="38"/>
      <c r="G673" s="39" t="str">
        <f t="shared" si="2"/>
      </c>
      <c r="H673" s="40"/>
      <c r="I673" s="41"/>
      <c r="J673" s="41"/>
      <c r="K673" s="41"/>
      <c r="L673" s="42"/>
      <c r="M673" s="43"/>
      <c r="N673" s="44"/>
      <c r="O673" s="45"/>
      <c r="P673" s="46" t="str">
        <f>IFERROR(__xludf.DUMMYFUNCTION("IF(OR(AND(C673&lt;&gt;"""", LEN(C673)&lt;3), LEN(C673)&gt;60, AND(D673&lt;&gt;"""", NOT(ISNUMBER(D673))), AND(ISNUMBER(D673), OR(D673&lt;0.01, D673&gt;999999999)), AND(COUNTA(D673:F673, H673:N673)&gt;0, C673=""""),                  
  AND(COUNTA(C673, H673:N673)&gt;0, D673=""""), LEN("&amp;"H673)&gt;50, AND(I673&lt;&gt;"""", NOT(ISNUMBER(I673))), AND(ISNUMBER(I673), OR(I673&lt;0, I673&gt;99998)), AND(L673&lt;&gt;"""", NOT(REGEXMATCH(L673&amp;"""", ""^\d{8,14}$"")))), ""Erro"", """")"),"")</f>
      </c>
    </row>
    <row r="674" ht="15.75" customHeight="true">
      <c r="A674" s="33"/>
      <c r="B674" s="34" t="str">
        <f t="shared" si="1"/>
      </c>
      <c r="C674" s="35"/>
      <c r="D674" s="36"/>
      <c r="E674" s="37"/>
      <c r="F674" s="38"/>
      <c r="G674" s="39" t="str">
        <f t="shared" si="2"/>
      </c>
      <c r="H674" s="40"/>
      <c r="I674" s="41"/>
      <c r="J674" s="41"/>
      <c r="K674" s="41"/>
      <c r="L674" s="42"/>
      <c r="M674" s="43"/>
      <c r="N674" s="44"/>
      <c r="O674" s="45"/>
      <c r="P674" s="46" t="str">
        <f>IFERROR(__xludf.DUMMYFUNCTION("IF(OR(AND(C674&lt;&gt;"""", LEN(C674)&lt;3), LEN(C674)&gt;60, AND(D674&lt;&gt;"""", NOT(ISNUMBER(D674))), AND(ISNUMBER(D674), OR(D674&lt;0.01, D674&gt;999999999)), AND(COUNTA(D674:F674, H674:N674)&gt;0, C674=""""),                  
  AND(COUNTA(C674, H674:N674)&gt;0, D674=""""), LEN("&amp;"H674)&gt;50, AND(I674&lt;&gt;"""", NOT(ISNUMBER(I674))), AND(ISNUMBER(I674), OR(I674&lt;0, I674&gt;99998)), AND(L674&lt;&gt;"""", NOT(REGEXMATCH(L674&amp;"""", ""^\d{8,14}$"")))), ""Erro"", """")"),"")</f>
      </c>
    </row>
    <row r="675" ht="15.75" customHeight="true">
      <c r="A675" s="33"/>
      <c r="B675" s="34" t="str">
        <f t="shared" si="1"/>
      </c>
      <c r="C675" s="35"/>
      <c r="D675" s="36"/>
      <c r="E675" s="37"/>
      <c r="F675" s="38"/>
      <c r="G675" s="39" t="str">
        <f t="shared" si="2"/>
      </c>
      <c r="H675" s="40"/>
      <c r="I675" s="41"/>
      <c r="J675" s="41"/>
      <c r="K675" s="41"/>
      <c r="L675" s="42"/>
      <c r="M675" s="43"/>
      <c r="N675" s="44"/>
      <c r="O675" s="45"/>
      <c r="P675" s="46" t="str">
        <f>IFERROR(__xludf.DUMMYFUNCTION("IF(OR(AND(C675&lt;&gt;"""", LEN(C675)&lt;3), LEN(C675)&gt;60, AND(D675&lt;&gt;"""", NOT(ISNUMBER(D675))), AND(ISNUMBER(D675), OR(D675&lt;0.01, D675&gt;999999999)), AND(COUNTA(D675:F675, H675:N675)&gt;0, C675=""""),                  
  AND(COUNTA(C675, H675:N675)&gt;0, D675=""""), LEN("&amp;"H675)&gt;50, AND(I675&lt;&gt;"""", NOT(ISNUMBER(I675))), AND(ISNUMBER(I675), OR(I675&lt;0, I675&gt;99998)), AND(L675&lt;&gt;"""", NOT(REGEXMATCH(L675&amp;"""", ""^\d{8,14}$"")))), ""Erro"", """")"),"")</f>
      </c>
    </row>
    <row r="676" ht="15.75" customHeight="true">
      <c r="A676" s="33"/>
      <c r="B676" s="34" t="str">
        <f t="shared" si="1"/>
      </c>
      <c r="C676" s="35"/>
      <c r="D676" s="36"/>
      <c r="E676" s="37"/>
      <c r="F676" s="38"/>
      <c r="G676" s="39" t="str">
        <f t="shared" si="2"/>
      </c>
      <c r="H676" s="40"/>
      <c r="I676" s="41"/>
      <c r="J676" s="41"/>
      <c r="K676" s="41"/>
      <c r="L676" s="42"/>
      <c r="M676" s="43"/>
      <c r="N676" s="44"/>
      <c r="O676" s="45"/>
      <c r="P676" s="46" t="str">
        <f>IFERROR(__xludf.DUMMYFUNCTION("IF(OR(AND(C676&lt;&gt;"""", LEN(C676)&lt;3), LEN(C676)&gt;60, AND(D676&lt;&gt;"""", NOT(ISNUMBER(D676))), AND(ISNUMBER(D676), OR(D676&lt;0.01, D676&gt;999999999)), AND(COUNTA(D676:F676, H676:N676)&gt;0, C676=""""),                  
  AND(COUNTA(C676, H676:N676)&gt;0, D676=""""), LEN("&amp;"H676)&gt;50, AND(I676&lt;&gt;"""", NOT(ISNUMBER(I676))), AND(ISNUMBER(I676), OR(I676&lt;0, I676&gt;99998)), AND(L676&lt;&gt;"""", NOT(REGEXMATCH(L676&amp;"""", ""^\d{8,14}$"")))), ""Erro"", """")"),"")</f>
      </c>
    </row>
    <row r="677" ht="15.75" customHeight="true">
      <c r="A677" s="33"/>
      <c r="B677" s="34" t="str">
        <f t="shared" si="1"/>
      </c>
      <c r="C677" s="35"/>
      <c r="D677" s="36"/>
      <c r="E677" s="37"/>
      <c r="F677" s="38"/>
      <c r="G677" s="39" t="str">
        <f t="shared" si="2"/>
      </c>
      <c r="H677" s="40"/>
      <c r="I677" s="41"/>
      <c r="J677" s="41"/>
      <c r="K677" s="41"/>
      <c r="L677" s="42"/>
      <c r="M677" s="43"/>
      <c r="N677" s="44"/>
      <c r="O677" s="45"/>
      <c r="P677" s="46" t="str">
        <f>IFERROR(__xludf.DUMMYFUNCTION("IF(OR(AND(C677&lt;&gt;"""", LEN(C677)&lt;3), LEN(C677)&gt;60, AND(D677&lt;&gt;"""", NOT(ISNUMBER(D677))), AND(ISNUMBER(D677), OR(D677&lt;0.01, D677&gt;999999999)), AND(COUNTA(D677:F677, H677:N677)&gt;0, C677=""""),                  
  AND(COUNTA(C677, H677:N677)&gt;0, D677=""""), LEN("&amp;"H677)&gt;50, AND(I677&lt;&gt;"""", NOT(ISNUMBER(I677))), AND(ISNUMBER(I677), OR(I677&lt;0, I677&gt;99998)), AND(L677&lt;&gt;"""", NOT(REGEXMATCH(L677&amp;"""", ""^\d{8,14}$"")))), ""Erro"", """")"),"")</f>
      </c>
    </row>
    <row r="678" ht="15.75" customHeight="true">
      <c r="A678" s="33"/>
      <c r="B678" s="34" t="str">
        <f t="shared" si="1"/>
      </c>
      <c r="C678" s="35"/>
      <c r="D678" s="36"/>
      <c r="E678" s="37"/>
      <c r="F678" s="38"/>
      <c r="G678" s="39" t="str">
        <f t="shared" si="2"/>
      </c>
      <c r="H678" s="40"/>
      <c r="I678" s="41"/>
      <c r="J678" s="41"/>
      <c r="K678" s="41"/>
      <c r="L678" s="42"/>
      <c r="M678" s="43"/>
      <c r="N678" s="44"/>
      <c r="O678" s="45"/>
      <c r="P678" s="46" t="str">
        <f>IFERROR(__xludf.DUMMYFUNCTION("IF(OR(AND(C678&lt;&gt;"""", LEN(C678)&lt;3), LEN(C678)&gt;60, AND(D678&lt;&gt;"""", NOT(ISNUMBER(D678))), AND(ISNUMBER(D678), OR(D678&lt;0.01, D678&gt;999999999)), AND(COUNTA(D678:F678, H678:N678)&gt;0, C678=""""),                  
  AND(COUNTA(C678, H678:N678)&gt;0, D678=""""), LEN("&amp;"H678)&gt;50, AND(I678&lt;&gt;"""", NOT(ISNUMBER(I678))), AND(ISNUMBER(I678), OR(I678&lt;0, I678&gt;99998)), AND(L678&lt;&gt;"""", NOT(REGEXMATCH(L678&amp;"""", ""^\d{8,14}$"")))), ""Erro"", """")"),"")</f>
      </c>
    </row>
    <row r="679" ht="15.75" customHeight="true">
      <c r="A679" s="33"/>
      <c r="B679" s="34" t="str">
        <f t="shared" si="1"/>
      </c>
      <c r="C679" s="35"/>
      <c r="D679" s="36"/>
      <c r="E679" s="37"/>
      <c r="F679" s="38"/>
      <c r="G679" s="39" t="str">
        <f t="shared" si="2"/>
      </c>
      <c r="H679" s="40"/>
      <c r="I679" s="41"/>
      <c r="J679" s="41"/>
      <c r="K679" s="41"/>
      <c r="L679" s="42"/>
      <c r="M679" s="43"/>
      <c r="N679" s="44"/>
      <c r="O679" s="45"/>
      <c r="P679" s="46" t="str">
        <f>IFERROR(__xludf.DUMMYFUNCTION("IF(OR(AND(C679&lt;&gt;"""", LEN(C679)&lt;3), LEN(C679)&gt;60, AND(D679&lt;&gt;"""", NOT(ISNUMBER(D679))), AND(ISNUMBER(D679), OR(D679&lt;0.01, D679&gt;999999999)), AND(COUNTA(D679:F679, H679:N679)&gt;0, C679=""""),                  
  AND(COUNTA(C679, H679:N679)&gt;0, D679=""""), LEN("&amp;"H679)&gt;50, AND(I679&lt;&gt;"""", NOT(ISNUMBER(I679))), AND(ISNUMBER(I679), OR(I679&lt;0, I679&gt;99998)), AND(L679&lt;&gt;"""", NOT(REGEXMATCH(L679&amp;"""", ""^\d{8,14}$"")))), ""Erro"", """")"),"")</f>
      </c>
    </row>
    <row r="680" ht="15.75" customHeight="true">
      <c r="A680" s="33"/>
      <c r="B680" s="34" t="str">
        <f t="shared" si="1"/>
      </c>
      <c r="C680" s="35"/>
      <c r="D680" s="36"/>
      <c r="E680" s="37"/>
      <c r="F680" s="38"/>
      <c r="G680" s="39" t="str">
        <f t="shared" si="2"/>
      </c>
      <c r="H680" s="40"/>
      <c r="I680" s="41"/>
      <c r="J680" s="41"/>
      <c r="K680" s="41"/>
      <c r="L680" s="42"/>
      <c r="M680" s="43"/>
      <c r="N680" s="44"/>
      <c r="O680" s="45"/>
      <c r="P680" s="46" t="str">
        <f>IFERROR(__xludf.DUMMYFUNCTION("IF(OR(AND(C680&lt;&gt;"""", LEN(C680)&lt;3), LEN(C680)&gt;60, AND(D680&lt;&gt;"""", NOT(ISNUMBER(D680))), AND(ISNUMBER(D680), OR(D680&lt;0.01, D680&gt;999999999)), AND(COUNTA(D680:F680, H680:N680)&gt;0, C680=""""),                  
  AND(COUNTA(C680, H680:N680)&gt;0, D680=""""), LEN("&amp;"H680)&gt;50, AND(I680&lt;&gt;"""", NOT(ISNUMBER(I680))), AND(ISNUMBER(I680), OR(I680&lt;0, I680&gt;99998)), AND(L680&lt;&gt;"""", NOT(REGEXMATCH(L680&amp;"""", ""^\d{8,14}$"")))), ""Erro"", """")"),"")</f>
      </c>
    </row>
    <row r="681" ht="15.75" customHeight="true">
      <c r="A681" s="33"/>
      <c r="B681" s="34" t="str">
        <f t="shared" si="1"/>
      </c>
      <c r="C681" s="35"/>
      <c r="D681" s="36"/>
      <c r="E681" s="37"/>
      <c r="F681" s="38"/>
      <c r="G681" s="39" t="str">
        <f t="shared" si="2"/>
      </c>
      <c r="H681" s="40"/>
      <c r="I681" s="41"/>
      <c r="J681" s="41"/>
      <c r="K681" s="41"/>
      <c r="L681" s="42"/>
      <c r="M681" s="43"/>
      <c r="N681" s="44"/>
      <c r="O681" s="45"/>
      <c r="P681" s="46" t="str">
        <f>IFERROR(__xludf.DUMMYFUNCTION("IF(OR(AND(C681&lt;&gt;"""", LEN(C681)&lt;3), LEN(C681)&gt;60, AND(D681&lt;&gt;"""", NOT(ISNUMBER(D681))), AND(ISNUMBER(D681), OR(D681&lt;0.01, D681&gt;999999999)), AND(COUNTA(D681:F681, H681:N681)&gt;0, C681=""""),                  
  AND(COUNTA(C681, H681:N681)&gt;0, D681=""""), LEN("&amp;"H681)&gt;50, AND(I681&lt;&gt;"""", NOT(ISNUMBER(I681))), AND(ISNUMBER(I681), OR(I681&lt;0, I681&gt;99998)), AND(L681&lt;&gt;"""", NOT(REGEXMATCH(L681&amp;"""", ""^\d{8,14}$"")))), ""Erro"", """")"),"")</f>
      </c>
    </row>
    <row r="682" ht="15.75" customHeight="true">
      <c r="A682" s="33"/>
      <c r="B682" s="34" t="str">
        <f t="shared" si="1"/>
      </c>
      <c r="C682" s="35"/>
      <c r="D682" s="36"/>
      <c r="E682" s="37"/>
      <c r="F682" s="38"/>
      <c r="G682" s="39" t="str">
        <f t="shared" si="2"/>
      </c>
      <c r="H682" s="40"/>
      <c r="I682" s="41"/>
      <c r="J682" s="41"/>
      <c r="K682" s="41"/>
      <c r="L682" s="42"/>
      <c r="M682" s="43"/>
      <c r="N682" s="44"/>
      <c r="O682" s="45"/>
      <c r="P682" s="46" t="str">
        <f>IFERROR(__xludf.DUMMYFUNCTION("IF(OR(AND(C682&lt;&gt;"""", LEN(C682)&lt;3), LEN(C682)&gt;60, AND(D682&lt;&gt;"""", NOT(ISNUMBER(D682))), AND(ISNUMBER(D682), OR(D682&lt;0.01, D682&gt;999999999)), AND(COUNTA(D682:F682, H682:N682)&gt;0, C682=""""),                  
  AND(COUNTA(C682, H682:N682)&gt;0, D682=""""), LEN("&amp;"H682)&gt;50, AND(I682&lt;&gt;"""", NOT(ISNUMBER(I682))), AND(ISNUMBER(I682), OR(I682&lt;0, I682&gt;99998)), AND(L682&lt;&gt;"""", NOT(REGEXMATCH(L682&amp;"""", ""^\d{8,14}$"")))), ""Erro"", """")"),"")</f>
      </c>
    </row>
    <row r="683" ht="15.75" customHeight="true">
      <c r="A683" s="33"/>
      <c r="B683" s="34" t="str">
        <f t="shared" si="1"/>
      </c>
      <c r="C683" s="35"/>
      <c r="D683" s="36"/>
      <c r="E683" s="37"/>
      <c r="F683" s="38"/>
      <c r="G683" s="39" t="str">
        <f t="shared" si="2"/>
      </c>
      <c r="H683" s="40"/>
      <c r="I683" s="41"/>
      <c r="J683" s="41"/>
      <c r="K683" s="41"/>
      <c r="L683" s="42"/>
      <c r="M683" s="43"/>
      <c r="N683" s="44"/>
      <c r="O683" s="45"/>
      <c r="P683" s="46" t="str">
        <f>IFERROR(__xludf.DUMMYFUNCTION("IF(OR(AND(C683&lt;&gt;"""", LEN(C683)&lt;3), LEN(C683)&gt;60, AND(D683&lt;&gt;"""", NOT(ISNUMBER(D683))), AND(ISNUMBER(D683), OR(D683&lt;0.01, D683&gt;999999999)), AND(COUNTA(D683:F683, H683:N683)&gt;0, C683=""""),                  
  AND(COUNTA(C683, H683:N683)&gt;0, D683=""""), LEN("&amp;"H683)&gt;50, AND(I683&lt;&gt;"""", NOT(ISNUMBER(I683))), AND(ISNUMBER(I683), OR(I683&lt;0, I683&gt;99998)), AND(L683&lt;&gt;"""", NOT(REGEXMATCH(L683&amp;"""", ""^\d{8,14}$"")))), ""Erro"", """")"),"")</f>
      </c>
    </row>
    <row r="684" ht="15.75" customHeight="true">
      <c r="A684" s="33"/>
      <c r="B684" s="34" t="str">
        <f t="shared" si="1"/>
      </c>
      <c r="C684" s="35"/>
      <c r="D684" s="36"/>
      <c r="E684" s="37"/>
      <c r="F684" s="38"/>
      <c r="G684" s="39" t="str">
        <f t="shared" si="2"/>
      </c>
      <c r="H684" s="40"/>
      <c r="I684" s="41"/>
      <c r="J684" s="41"/>
      <c r="K684" s="41"/>
      <c r="L684" s="42"/>
      <c r="M684" s="43"/>
      <c r="N684" s="44"/>
      <c r="O684" s="45"/>
      <c r="P684" s="46" t="str">
        <f>IFERROR(__xludf.DUMMYFUNCTION("IF(OR(AND(C684&lt;&gt;"""", LEN(C684)&lt;3), LEN(C684)&gt;60, AND(D684&lt;&gt;"""", NOT(ISNUMBER(D684))), AND(ISNUMBER(D684), OR(D684&lt;0.01, D684&gt;999999999)), AND(COUNTA(D684:F684, H684:N684)&gt;0, C684=""""),                  
  AND(COUNTA(C684, H684:N684)&gt;0, D684=""""), LEN("&amp;"H684)&gt;50, AND(I684&lt;&gt;"""", NOT(ISNUMBER(I684))), AND(ISNUMBER(I684), OR(I684&lt;0, I684&gt;99998)), AND(L684&lt;&gt;"""", NOT(REGEXMATCH(L684&amp;"""", ""^\d{8,14}$"")))), ""Erro"", """")"),"")</f>
      </c>
    </row>
    <row r="685" ht="15.75" customHeight="true">
      <c r="A685" s="33"/>
      <c r="B685" s="34" t="str">
        <f t="shared" si="1"/>
      </c>
      <c r="C685" s="35"/>
      <c r="D685" s="36"/>
      <c r="E685" s="37"/>
      <c r="F685" s="38"/>
      <c r="G685" s="39" t="str">
        <f t="shared" si="2"/>
      </c>
      <c r="H685" s="40"/>
      <c r="I685" s="41"/>
      <c r="J685" s="41"/>
      <c r="K685" s="41"/>
      <c r="L685" s="42"/>
      <c r="M685" s="43"/>
      <c r="N685" s="44"/>
      <c r="O685" s="45"/>
      <c r="P685" s="46" t="str">
        <f>IFERROR(__xludf.DUMMYFUNCTION("IF(OR(AND(C685&lt;&gt;"""", LEN(C685)&lt;3), LEN(C685)&gt;60, AND(D685&lt;&gt;"""", NOT(ISNUMBER(D685))), AND(ISNUMBER(D685), OR(D685&lt;0.01, D685&gt;999999999)), AND(COUNTA(D685:F685, H685:N685)&gt;0, C685=""""),                  
  AND(COUNTA(C685, H685:N685)&gt;0, D685=""""), LEN("&amp;"H685)&gt;50, AND(I685&lt;&gt;"""", NOT(ISNUMBER(I685))), AND(ISNUMBER(I685), OR(I685&lt;0, I685&gt;99998)), AND(L685&lt;&gt;"""", NOT(REGEXMATCH(L685&amp;"""", ""^\d{8,14}$"")))), ""Erro"", """")"),"")</f>
      </c>
    </row>
    <row r="686" ht="15.75" customHeight="true">
      <c r="A686" s="33"/>
      <c r="B686" s="34" t="str">
        <f t="shared" si="1"/>
      </c>
      <c r="C686" s="35"/>
      <c r="D686" s="36"/>
      <c r="E686" s="37"/>
      <c r="F686" s="38"/>
      <c r="G686" s="39" t="str">
        <f t="shared" si="2"/>
      </c>
      <c r="H686" s="40"/>
      <c r="I686" s="41"/>
      <c r="J686" s="41"/>
      <c r="K686" s="41"/>
      <c r="L686" s="42"/>
      <c r="M686" s="43"/>
      <c r="N686" s="44"/>
      <c r="O686" s="45"/>
      <c r="P686" s="46" t="str">
        <f>IFERROR(__xludf.DUMMYFUNCTION("IF(OR(AND(C686&lt;&gt;"""", LEN(C686)&lt;3), LEN(C686)&gt;60, AND(D686&lt;&gt;"""", NOT(ISNUMBER(D686))), AND(ISNUMBER(D686), OR(D686&lt;0.01, D686&gt;999999999)), AND(COUNTA(D686:F686, H686:N686)&gt;0, C686=""""),                  
  AND(COUNTA(C686, H686:N686)&gt;0, D686=""""), LEN("&amp;"H686)&gt;50, AND(I686&lt;&gt;"""", NOT(ISNUMBER(I686))), AND(ISNUMBER(I686), OR(I686&lt;0, I686&gt;99998)), AND(L686&lt;&gt;"""", NOT(REGEXMATCH(L686&amp;"""", ""^\d{8,14}$"")))), ""Erro"", """")"),"")</f>
      </c>
    </row>
    <row r="687" ht="15.75" customHeight="true">
      <c r="A687" s="33"/>
      <c r="B687" s="34" t="str">
        <f t="shared" si="1"/>
      </c>
      <c r="C687" s="35"/>
      <c r="D687" s="36"/>
      <c r="E687" s="37"/>
      <c r="F687" s="38"/>
      <c r="G687" s="39" t="str">
        <f t="shared" si="2"/>
      </c>
      <c r="H687" s="40"/>
      <c r="I687" s="41"/>
      <c r="J687" s="41"/>
      <c r="K687" s="41"/>
      <c r="L687" s="42"/>
      <c r="M687" s="43"/>
      <c r="N687" s="44"/>
      <c r="O687" s="45"/>
      <c r="P687" s="46" t="str">
        <f>IFERROR(__xludf.DUMMYFUNCTION("IF(OR(AND(C687&lt;&gt;"""", LEN(C687)&lt;3), LEN(C687)&gt;60, AND(D687&lt;&gt;"""", NOT(ISNUMBER(D687))), AND(ISNUMBER(D687), OR(D687&lt;0.01, D687&gt;999999999)), AND(COUNTA(D687:F687, H687:N687)&gt;0, C687=""""),                  
  AND(COUNTA(C687, H687:N687)&gt;0, D687=""""), LEN("&amp;"H687)&gt;50, AND(I687&lt;&gt;"""", NOT(ISNUMBER(I687))), AND(ISNUMBER(I687), OR(I687&lt;0, I687&gt;99998)), AND(L687&lt;&gt;"""", NOT(REGEXMATCH(L687&amp;"""", ""^\d{8,14}$"")))), ""Erro"", """")"),"")</f>
      </c>
    </row>
    <row r="688" ht="15.75" customHeight="true">
      <c r="A688" s="33"/>
      <c r="B688" s="34" t="str">
        <f t="shared" si="1"/>
      </c>
      <c r="C688" s="35"/>
      <c r="D688" s="36"/>
      <c r="E688" s="37"/>
      <c r="F688" s="38"/>
      <c r="G688" s="39" t="str">
        <f t="shared" si="2"/>
      </c>
      <c r="H688" s="40"/>
      <c r="I688" s="41"/>
      <c r="J688" s="41"/>
      <c r="K688" s="41"/>
      <c r="L688" s="42"/>
      <c r="M688" s="43"/>
      <c r="N688" s="44"/>
      <c r="O688" s="45"/>
      <c r="P688" s="46" t="str">
        <f>IFERROR(__xludf.DUMMYFUNCTION("IF(OR(AND(C688&lt;&gt;"""", LEN(C688)&lt;3), LEN(C688)&gt;60, AND(D688&lt;&gt;"""", NOT(ISNUMBER(D688))), AND(ISNUMBER(D688), OR(D688&lt;0.01, D688&gt;999999999)), AND(COUNTA(D688:F688, H688:N688)&gt;0, C688=""""),                  
  AND(COUNTA(C688, H688:N688)&gt;0, D688=""""), LEN("&amp;"H688)&gt;50, AND(I688&lt;&gt;"""", NOT(ISNUMBER(I688))), AND(ISNUMBER(I688), OR(I688&lt;0, I688&gt;99998)), AND(L688&lt;&gt;"""", NOT(REGEXMATCH(L688&amp;"""", ""^\d{8,14}$"")))), ""Erro"", """")"),"")</f>
      </c>
    </row>
    <row r="689" ht="15.75" customHeight="true">
      <c r="A689" s="33"/>
      <c r="B689" s="34" t="str">
        <f t="shared" si="1"/>
      </c>
      <c r="C689" s="35"/>
      <c r="D689" s="36"/>
      <c r="E689" s="37"/>
      <c r="F689" s="38"/>
      <c r="G689" s="39" t="str">
        <f t="shared" si="2"/>
      </c>
      <c r="H689" s="40"/>
      <c r="I689" s="41"/>
      <c r="J689" s="41"/>
      <c r="K689" s="41"/>
      <c r="L689" s="42"/>
      <c r="M689" s="43"/>
      <c r="N689" s="44"/>
      <c r="O689" s="45"/>
      <c r="P689" s="46" t="str">
        <f>IFERROR(__xludf.DUMMYFUNCTION("IF(OR(AND(C689&lt;&gt;"""", LEN(C689)&lt;3), LEN(C689)&gt;60, AND(D689&lt;&gt;"""", NOT(ISNUMBER(D689))), AND(ISNUMBER(D689), OR(D689&lt;0.01, D689&gt;999999999)), AND(COUNTA(D689:F689, H689:N689)&gt;0, C689=""""),                  
  AND(COUNTA(C689, H689:N689)&gt;0, D689=""""), LEN("&amp;"H689)&gt;50, AND(I689&lt;&gt;"""", NOT(ISNUMBER(I689))), AND(ISNUMBER(I689), OR(I689&lt;0, I689&gt;99998)), AND(L689&lt;&gt;"""", NOT(REGEXMATCH(L689&amp;"""", ""^\d{8,14}$"")))), ""Erro"", """")"),"")</f>
      </c>
    </row>
    <row r="690" ht="15.75" customHeight="true">
      <c r="A690" s="33"/>
      <c r="B690" s="34" t="str">
        <f t="shared" si="1"/>
      </c>
      <c r="C690" s="35"/>
      <c r="D690" s="36"/>
      <c r="E690" s="37"/>
      <c r="F690" s="38"/>
      <c r="G690" s="39" t="str">
        <f t="shared" si="2"/>
      </c>
      <c r="H690" s="40"/>
      <c r="I690" s="41"/>
      <c r="J690" s="41"/>
      <c r="K690" s="41"/>
      <c r="L690" s="42"/>
      <c r="M690" s="43"/>
      <c r="N690" s="44"/>
      <c r="O690" s="45"/>
      <c r="P690" s="46" t="str">
        <f>IFERROR(__xludf.DUMMYFUNCTION("IF(OR(AND(C690&lt;&gt;"""", LEN(C690)&lt;3), LEN(C690)&gt;60, AND(D690&lt;&gt;"""", NOT(ISNUMBER(D690))), AND(ISNUMBER(D690), OR(D690&lt;0.01, D690&gt;999999999)), AND(COUNTA(D690:F690, H690:N690)&gt;0, C690=""""),                  
  AND(COUNTA(C690, H690:N690)&gt;0, D690=""""), LEN("&amp;"H690)&gt;50, AND(I690&lt;&gt;"""", NOT(ISNUMBER(I690))), AND(ISNUMBER(I690), OR(I690&lt;0, I690&gt;99998)), AND(L690&lt;&gt;"""", NOT(REGEXMATCH(L690&amp;"""", ""^\d{8,14}$"")))), ""Erro"", """")"),"")</f>
      </c>
    </row>
    <row r="691" ht="15.75" customHeight="true">
      <c r="A691" s="33"/>
      <c r="B691" s="34" t="str">
        <f t="shared" si="1"/>
      </c>
      <c r="C691" s="35"/>
      <c r="D691" s="36"/>
      <c r="E691" s="37"/>
      <c r="F691" s="38"/>
      <c r="G691" s="39" t="str">
        <f t="shared" si="2"/>
      </c>
      <c r="H691" s="40"/>
      <c r="I691" s="41"/>
      <c r="J691" s="41"/>
      <c r="K691" s="41"/>
      <c r="L691" s="42"/>
      <c r="M691" s="43"/>
      <c r="N691" s="44"/>
      <c r="O691" s="45"/>
      <c r="P691" s="46" t="str">
        <f>IFERROR(__xludf.DUMMYFUNCTION("IF(OR(AND(C691&lt;&gt;"""", LEN(C691)&lt;3), LEN(C691)&gt;60, AND(D691&lt;&gt;"""", NOT(ISNUMBER(D691))), AND(ISNUMBER(D691), OR(D691&lt;0.01, D691&gt;999999999)), AND(COUNTA(D691:F691, H691:N691)&gt;0, C691=""""),                  
  AND(COUNTA(C691, H691:N691)&gt;0, D691=""""), LEN("&amp;"H691)&gt;50, AND(I691&lt;&gt;"""", NOT(ISNUMBER(I691))), AND(ISNUMBER(I691), OR(I691&lt;0, I691&gt;99998)), AND(L691&lt;&gt;"""", NOT(REGEXMATCH(L691&amp;"""", ""^\d{8,14}$"")))), ""Erro"", """")"),"")</f>
      </c>
    </row>
    <row r="692" ht="15.75" customHeight="true">
      <c r="A692" s="33"/>
      <c r="B692" s="34" t="str">
        <f t="shared" si="1"/>
      </c>
      <c r="C692" s="35"/>
      <c r="D692" s="36"/>
      <c r="E692" s="37"/>
      <c r="F692" s="38"/>
      <c r="G692" s="39" t="str">
        <f t="shared" si="2"/>
      </c>
      <c r="H692" s="40"/>
      <c r="I692" s="41"/>
      <c r="J692" s="41"/>
      <c r="K692" s="41"/>
      <c r="L692" s="42"/>
      <c r="M692" s="43"/>
      <c r="N692" s="44"/>
      <c r="O692" s="45"/>
      <c r="P692" s="46" t="str">
        <f>IFERROR(__xludf.DUMMYFUNCTION("IF(OR(AND(C692&lt;&gt;"""", LEN(C692)&lt;3), LEN(C692)&gt;60, AND(D692&lt;&gt;"""", NOT(ISNUMBER(D692))), AND(ISNUMBER(D692), OR(D692&lt;0.01, D692&gt;999999999)), AND(COUNTA(D692:F692, H692:N692)&gt;0, C692=""""),                  
  AND(COUNTA(C692, H692:N692)&gt;0, D692=""""), LEN("&amp;"H692)&gt;50, AND(I692&lt;&gt;"""", NOT(ISNUMBER(I692))), AND(ISNUMBER(I692), OR(I692&lt;0, I692&gt;99998)), AND(L692&lt;&gt;"""", NOT(REGEXMATCH(L692&amp;"""", ""^\d{8,14}$"")))), ""Erro"", """")"),"")</f>
      </c>
    </row>
    <row r="693" ht="15.75" customHeight="true">
      <c r="A693" s="33"/>
      <c r="B693" s="34" t="str">
        <f t="shared" si="1"/>
      </c>
      <c r="C693" s="35"/>
      <c r="D693" s="36"/>
      <c r="E693" s="37"/>
      <c r="F693" s="38"/>
      <c r="G693" s="39" t="str">
        <f t="shared" si="2"/>
      </c>
      <c r="H693" s="40"/>
      <c r="I693" s="41"/>
      <c r="J693" s="41"/>
      <c r="K693" s="41"/>
      <c r="L693" s="42"/>
      <c r="M693" s="43"/>
      <c r="N693" s="44"/>
      <c r="O693" s="45"/>
      <c r="P693" s="46" t="str">
        <f>IFERROR(__xludf.DUMMYFUNCTION("IF(OR(AND(C693&lt;&gt;"""", LEN(C693)&lt;3), LEN(C693)&gt;60, AND(D693&lt;&gt;"""", NOT(ISNUMBER(D693))), AND(ISNUMBER(D693), OR(D693&lt;0.01, D693&gt;999999999)), AND(COUNTA(D693:F693, H693:N693)&gt;0, C693=""""),                  
  AND(COUNTA(C693, H693:N693)&gt;0, D693=""""), LEN("&amp;"H693)&gt;50, AND(I693&lt;&gt;"""", NOT(ISNUMBER(I693))), AND(ISNUMBER(I693), OR(I693&lt;0, I693&gt;99998)), AND(L693&lt;&gt;"""", NOT(REGEXMATCH(L693&amp;"""", ""^\d{8,14}$"")))), ""Erro"", """")"),"")</f>
      </c>
    </row>
    <row r="694" ht="15.75" customHeight="true">
      <c r="A694" s="33"/>
      <c r="B694" s="34" t="str">
        <f t="shared" si="1"/>
      </c>
      <c r="C694" s="35"/>
      <c r="D694" s="36"/>
      <c r="E694" s="37"/>
      <c r="F694" s="38"/>
      <c r="G694" s="39" t="str">
        <f t="shared" si="2"/>
      </c>
      <c r="H694" s="40"/>
      <c r="I694" s="41"/>
      <c r="J694" s="41"/>
      <c r="K694" s="41"/>
      <c r="L694" s="42"/>
      <c r="M694" s="43"/>
      <c r="N694" s="44"/>
      <c r="O694" s="45"/>
      <c r="P694" s="46" t="str">
        <f>IFERROR(__xludf.DUMMYFUNCTION("IF(OR(AND(C694&lt;&gt;"""", LEN(C694)&lt;3), LEN(C694)&gt;60, AND(D694&lt;&gt;"""", NOT(ISNUMBER(D694))), AND(ISNUMBER(D694), OR(D694&lt;0.01, D694&gt;999999999)), AND(COUNTA(D694:F694, H694:N694)&gt;0, C694=""""),                  
  AND(COUNTA(C694, H694:N694)&gt;0, D694=""""), LEN("&amp;"H694)&gt;50, AND(I694&lt;&gt;"""", NOT(ISNUMBER(I694))), AND(ISNUMBER(I694), OR(I694&lt;0, I694&gt;99998)), AND(L694&lt;&gt;"""", NOT(REGEXMATCH(L694&amp;"""", ""^\d{8,14}$"")))), ""Erro"", """")"),"")</f>
      </c>
    </row>
    <row r="695" ht="15.75" customHeight="true">
      <c r="A695" s="33"/>
      <c r="B695" s="34" t="str">
        <f t="shared" si="1"/>
      </c>
      <c r="C695" s="35"/>
      <c r="D695" s="36"/>
      <c r="E695" s="37"/>
      <c r="F695" s="38"/>
      <c r="G695" s="39" t="str">
        <f t="shared" si="2"/>
      </c>
      <c r="H695" s="40"/>
      <c r="I695" s="41"/>
      <c r="J695" s="41"/>
      <c r="K695" s="41"/>
      <c r="L695" s="42"/>
      <c r="M695" s="43"/>
      <c r="N695" s="44"/>
      <c r="O695" s="45"/>
      <c r="P695" s="46" t="str">
        <f>IFERROR(__xludf.DUMMYFUNCTION("IF(OR(AND(C695&lt;&gt;"""", LEN(C695)&lt;3), LEN(C695)&gt;60, AND(D695&lt;&gt;"""", NOT(ISNUMBER(D695))), AND(ISNUMBER(D695), OR(D695&lt;0.01, D695&gt;999999999)), AND(COUNTA(D695:F695, H695:N695)&gt;0, C695=""""),                  
  AND(COUNTA(C695, H695:N695)&gt;0, D695=""""), LEN("&amp;"H695)&gt;50, AND(I695&lt;&gt;"""", NOT(ISNUMBER(I695))), AND(ISNUMBER(I695), OR(I695&lt;0, I695&gt;99998)), AND(L695&lt;&gt;"""", NOT(REGEXMATCH(L695&amp;"""", ""^\d{8,14}$"")))), ""Erro"", """")"),"")</f>
      </c>
    </row>
    <row r="696" ht="15.75" customHeight="true">
      <c r="A696" s="33"/>
      <c r="B696" s="34" t="str">
        <f t="shared" si="1"/>
      </c>
      <c r="C696" s="35"/>
      <c r="D696" s="36"/>
      <c r="E696" s="37"/>
      <c r="F696" s="38"/>
      <c r="G696" s="39" t="str">
        <f t="shared" si="2"/>
      </c>
      <c r="H696" s="40"/>
      <c r="I696" s="41"/>
      <c r="J696" s="41"/>
      <c r="K696" s="41"/>
      <c r="L696" s="42"/>
      <c r="M696" s="43"/>
      <c r="N696" s="44"/>
      <c r="O696" s="45"/>
      <c r="P696" s="46" t="str">
        <f>IFERROR(__xludf.DUMMYFUNCTION("IF(OR(AND(C696&lt;&gt;"""", LEN(C696)&lt;3), LEN(C696)&gt;60, AND(D696&lt;&gt;"""", NOT(ISNUMBER(D696))), AND(ISNUMBER(D696), OR(D696&lt;0.01, D696&gt;999999999)), AND(COUNTA(D696:F696, H696:N696)&gt;0, C696=""""),                  
  AND(COUNTA(C696, H696:N696)&gt;0, D696=""""), LEN("&amp;"H696)&gt;50, AND(I696&lt;&gt;"""", NOT(ISNUMBER(I696))), AND(ISNUMBER(I696), OR(I696&lt;0, I696&gt;99998)), AND(L696&lt;&gt;"""", NOT(REGEXMATCH(L696&amp;"""", ""^\d{8,14}$"")))), ""Erro"", """")"),"")</f>
      </c>
    </row>
    <row r="697" ht="15.75" customHeight="true">
      <c r="A697" s="33"/>
      <c r="B697" s="34" t="str">
        <f t="shared" si="1"/>
      </c>
      <c r="C697" s="35"/>
      <c r="D697" s="36"/>
      <c r="E697" s="37"/>
      <c r="F697" s="38"/>
      <c r="G697" s="39" t="str">
        <f t="shared" si="2"/>
      </c>
      <c r="H697" s="40"/>
      <c r="I697" s="41"/>
      <c r="J697" s="41"/>
      <c r="K697" s="41"/>
      <c r="L697" s="42"/>
      <c r="M697" s="43"/>
      <c r="N697" s="44"/>
      <c r="O697" s="45"/>
      <c r="P697" s="46" t="str">
        <f>IFERROR(__xludf.DUMMYFUNCTION("IF(OR(AND(C697&lt;&gt;"""", LEN(C697)&lt;3), LEN(C697)&gt;60, AND(D697&lt;&gt;"""", NOT(ISNUMBER(D697))), AND(ISNUMBER(D697), OR(D697&lt;0.01, D697&gt;999999999)), AND(COUNTA(D697:F697, H697:N697)&gt;0, C697=""""),                  
  AND(COUNTA(C697, H697:N697)&gt;0, D697=""""), LEN("&amp;"H697)&gt;50, AND(I697&lt;&gt;"""", NOT(ISNUMBER(I697))), AND(ISNUMBER(I697), OR(I697&lt;0, I697&gt;99998)), AND(L697&lt;&gt;"""", NOT(REGEXMATCH(L697&amp;"""", ""^\d{8,14}$"")))), ""Erro"", """")"),"")</f>
      </c>
    </row>
    <row r="698" ht="15.75" customHeight="true">
      <c r="A698" s="33"/>
      <c r="B698" s="34" t="str">
        <f t="shared" si="1"/>
      </c>
      <c r="C698" s="35"/>
      <c r="D698" s="36"/>
      <c r="E698" s="37"/>
      <c r="F698" s="38"/>
      <c r="G698" s="39" t="str">
        <f t="shared" si="2"/>
      </c>
      <c r="H698" s="40"/>
      <c r="I698" s="41"/>
      <c r="J698" s="41"/>
      <c r="K698" s="41"/>
      <c r="L698" s="42"/>
      <c r="M698" s="43"/>
      <c r="N698" s="44"/>
      <c r="O698" s="45"/>
      <c r="P698" s="46" t="str">
        <f>IFERROR(__xludf.DUMMYFUNCTION("IF(OR(AND(C698&lt;&gt;"""", LEN(C698)&lt;3), LEN(C698)&gt;60, AND(D698&lt;&gt;"""", NOT(ISNUMBER(D698))), AND(ISNUMBER(D698), OR(D698&lt;0.01, D698&gt;999999999)), AND(COUNTA(D698:F698, H698:N698)&gt;0, C698=""""),                  
  AND(COUNTA(C698, H698:N698)&gt;0, D698=""""), LEN("&amp;"H698)&gt;50, AND(I698&lt;&gt;"""", NOT(ISNUMBER(I698))), AND(ISNUMBER(I698), OR(I698&lt;0, I698&gt;99998)), AND(L698&lt;&gt;"""", NOT(REGEXMATCH(L698&amp;"""", ""^\d{8,14}$"")))), ""Erro"", """")"),"")</f>
      </c>
    </row>
    <row r="699" ht="15.75" customHeight="true">
      <c r="A699" s="33"/>
      <c r="B699" s="34" t="str">
        <f t="shared" si="1"/>
      </c>
      <c r="C699" s="35"/>
      <c r="D699" s="36"/>
      <c r="E699" s="37"/>
      <c r="F699" s="38"/>
      <c r="G699" s="39" t="str">
        <f t="shared" si="2"/>
      </c>
      <c r="H699" s="40"/>
      <c r="I699" s="41"/>
      <c r="J699" s="41"/>
      <c r="K699" s="41"/>
      <c r="L699" s="42"/>
      <c r="M699" s="43"/>
      <c r="N699" s="44"/>
      <c r="O699" s="45"/>
      <c r="P699" s="46" t="str">
        <f>IFERROR(__xludf.DUMMYFUNCTION("IF(OR(AND(C699&lt;&gt;"""", LEN(C699)&lt;3), LEN(C699)&gt;60, AND(D699&lt;&gt;"""", NOT(ISNUMBER(D699))), AND(ISNUMBER(D699), OR(D699&lt;0.01, D699&gt;999999999)), AND(COUNTA(D699:F699, H699:N699)&gt;0, C699=""""),                  
  AND(COUNTA(C699, H699:N699)&gt;0, D699=""""), LEN("&amp;"H699)&gt;50, AND(I699&lt;&gt;"""", NOT(ISNUMBER(I699))), AND(ISNUMBER(I699), OR(I699&lt;0, I699&gt;99998)), AND(L699&lt;&gt;"""", NOT(REGEXMATCH(L699&amp;"""", ""^\d{8,14}$"")))), ""Erro"", """")"),"")</f>
      </c>
    </row>
    <row r="700" ht="15.75" customHeight="true">
      <c r="A700" s="33"/>
      <c r="B700" s="34" t="str">
        <f t="shared" si="1"/>
      </c>
      <c r="C700" s="35"/>
      <c r="D700" s="36"/>
      <c r="E700" s="37"/>
      <c r="F700" s="38"/>
      <c r="G700" s="39" t="str">
        <f t="shared" si="2"/>
      </c>
      <c r="H700" s="40"/>
      <c r="I700" s="41"/>
      <c r="J700" s="41"/>
      <c r="K700" s="41"/>
      <c r="L700" s="42"/>
      <c r="M700" s="43"/>
      <c r="N700" s="44"/>
      <c r="O700" s="45"/>
      <c r="P700" s="46" t="str">
        <f>IFERROR(__xludf.DUMMYFUNCTION("IF(OR(AND(C700&lt;&gt;"""", LEN(C700)&lt;3), LEN(C700)&gt;60, AND(D700&lt;&gt;"""", NOT(ISNUMBER(D700))), AND(ISNUMBER(D700), OR(D700&lt;0.01, D700&gt;999999999)), AND(COUNTA(D700:F700, H700:N700)&gt;0, C700=""""),                  
  AND(COUNTA(C700, H700:N700)&gt;0, D700=""""), LEN("&amp;"H700)&gt;50, AND(I700&lt;&gt;"""", NOT(ISNUMBER(I700))), AND(ISNUMBER(I700), OR(I700&lt;0, I700&gt;99998)), AND(L700&lt;&gt;"""", NOT(REGEXMATCH(L700&amp;"""", ""^\d{8,14}$"")))), ""Erro"", """")"),"")</f>
      </c>
    </row>
    <row r="701" ht="15.75" customHeight="true">
      <c r="A701" s="33"/>
      <c r="B701" s="34" t="str">
        <f t="shared" si="1"/>
      </c>
      <c r="C701" s="35"/>
      <c r="D701" s="36"/>
      <c r="E701" s="37"/>
      <c r="F701" s="38"/>
      <c r="G701" s="39" t="str">
        <f t="shared" si="2"/>
      </c>
      <c r="H701" s="40"/>
      <c r="I701" s="41"/>
      <c r="J701" s="41"/>
      <c r="K701" s="41"/>
      <c r="L701" s="42"/>
      <c r="M701" s="43"/>
      <c r="N701" s="44"/>
      <c r="O701" s="45"/>
      <c r="P701" s="46" t="str">
        <f>IFERROR(__xludf.DUMMYFUNCTION("IF(OR(AND(C701&lt;&gt;"""", LEN(C701)&lt;3), LEN(C701)&gt;60, AND(D701&lt;&gt;"""", NOT(ISNUMBER(D701))), AND(ISNUMBER(D701), OR(D701&lt;0.01, D701&gt;999999999)), AND(COUNTA(D701:F701, H701:N701)&gt;0, C701=""""),                  
  AND(COUNTA(C701, H701:N701)&gt;0, D701=""""), LEN("&amp;"H701)&gt;50, AND(I701&lt;&gt;"""", NOT(ISNUMBER(I701))), AND(ISNUMBER(I701), OR(I701&lt;0, I701&gt;99998)), AND(L701&lt;&gt;"""", NOT(REGEXMATCH(L701&amp;"""", ""^\d{8,14}$"")))), ""Erro"", """")"),"")</f>
      </c>
    </row>
    <row r="702" ht="15.75" customHeight="true">
      <c r="A702" s="33"/>
      <c r="B702" s="34" t="str">
        <f t="shared" si="1"/>
      </c>
      <c r="C702" s="35"/>
      <c r="D702" s="36"/>
      <c r="E702" s="37"/>
      <c r="F702" s="38"/>
      <c r="G702" s="39" t="str">
        <f t="shared" si="2"/>
      </c>
      <c r="H702" s="40"/>
      <c r="I702" s="41"/>
      <c r="J702" s="41"/>
      <c r="K702" s="41"/>
      <c r="L702" s="42"/>
      <c r="M702" s="43"/>
      <c r="N702" s="44"/>
      <c r="O702" s="45"/>
      <c r="P702" s="46" t="str">
        <f>IFERROR(__xludf.DUMMYFUNCTION("IF(OR(AND(C702&lt;&gt;"""", LEN(C702)&lt;3), LEN(C702)&gt;60, AND(D702&lt;&gt;"""", NOT(ISNUMBER(D702))), AND(ISNUMBER(D702), OR(D702&lt;0.01, D702&gt;999999999)), AND(COUNTA(D702:F702, H702:N702)&gt;0, C702=""""),                  
  AND(COUNTA(C702, H702:N702)&gt;0, D702=""""), LEN("&amp;"H702)&gt;50, AND(I702&lt;&gt;"""", NOT(ISNUMBER(I702))), AND(ISNUMBER(I702), OR(I702&lt;0, I702&gt;99998)), AND(L702&lt;&gt;"""", NOT(REGEXMATCH(L702&amp;"""", ""^\d{8,14}$"")))), ""Erro"", """")"),"")</f>
      </c>
    </row>
    <row r="703" ht="15.75" customHeight="true">
      <c r="A703" s="33"/>
      <c r="B703" s="34" t="str">
        <f t="shared" si="1"/>
      </c>
      <c r="C703" s="35"/>
      <c r="D703" s="36"/>
      <c r="E703" s="37"/>
      <c r="F703" s="38"/>
      <c r="G703" s="39" t="str">
        <f t="shared" si="2"/>
      </c>
      <c r="H703" s="40"/>
      <c r="I703" s="41"/>
      <c r="J703" s="41"/>
      <c r="K703" s="41"/>
      <c r="L703" s="42"/>
      <c r="M703" s="43"/>
      <c r="N703" s="44"/>
      <c r="O703" s="45"/>
      <c r="P703" s="46" t="str">
        <f>IFERROR(__xludf.DUMMYFUNCTION("IF(OR(AND(C703&lt;&gt;"""", LEN(C703)&lt;3), LEN(C703)&gt;60, AND(D703&lt;&gt;"""", NOT(ISNUMBER(D703))), AND(ISNUMBER(D703), OR(D703&lt;0.01, D703&gt;999999999)), AND(COUNTA(D703:F703, H703:N703)&gt;0, C703=""""),                  
  AND(COUNTA(C703, H703:N703)&gt;0, D703=""""), LEN("&amp;"H703)&gt;50, AND(I703&lt;&gt;"""", NOT(ISNUMBER(I703))), AND(ISNUMBER(I703), OR(I703&lt;0, I703&gt;99998)), AND(L703&lt;&gt;"""", NOT(REGEXMATCH(L703&amp;"""", ""^\d{8,14}$"")))), ""Erro"", """")"),"")</f>
      </c>
    </row>
    <row r="704" ht="15.75" customHeight="true">
      <c r="A704" s="33"/>
      <c r="B704" s="34" t="str">
        <f t="shared" si="1"/>
      </c>
      <c r="C704" s="35"/>
      <c r="D704" s="36"/>
      <c r="E704" s="37"/>
      <c r="F704" s="38"/>
      <c r="G704" s="39" t="str">
        <f t="shared" si="2"/>
      </c>
      <c r="H704" s="40"/>
      <c r="I704" s="41"/>
      <c r="J704" s="41"/>
      <c r="K704" s="41"/>
      <c r="L704" s="42"/>
      <c r="M704" s="43"/>
      <c r="N704" s="44"/>
      <c r="O704" s="45"/>
      <c r="P704" s="46" t="str">
        <f>IFERROR(__xludf.DUMMYFUNCTION("IF(OR(AND(C704&lt;&gt;"""", LEN(C704)&lt;3), LEN(C704)&gt;60, AND(D704&lt;&gt;"""", NOT(ISNUMBER(D704))), AND(ISNUMBER(D704), OR(D704&lt;0.01, D704&gt;999999999)), AND(COUNTA(D704:F704, H704:N704)&gt;0, C704=""""),                  
  AND(COUNTA(C704, H704:N704)&gt;0, D704=""""), LEN("&amp;"H704)&gt;50, AND(I704&lt;&gt;"""", NOT(ISNUMBER(I704))), AND(ISNUMBER(I704), OR(I704&lt;0, I704&gt;99998)), AND(L704&lt;&gt;"""", NOT(REGEXMATCH(L704&amp;"""", ""^\d{8,14}$"")))), ""Erro"", """")"),"")</f>
      </c>
    </row>
    <row r="705" ht="15.75" customHeight="true">
      <c r="A705" s="33"/>
      <c r="B705" s="34" t="str">
        <f t="shared" si="1"/>
      </c>
      <c r="C705" s="35"/>
      <c r="D705" s="36"/>
      <c r="E705" s="37"/>
      <c r="F705" s="38"/>
      <c r="G705" s="39" t="str">
        <f t="shared" si="2"/>
      </c>
      <c r="H705" s="40"/>
      <c r="I705" s="41"/>
      <c r="J705" s="41"/>
      <c r="K705" s="41"/>
      <c r="L705" s="42"/>
      <c r="M705" s="43"/>
      <c r="N705" s="44"/>
      <c r="O705" s="45"/>
      <c r="P705" s="46" t="str">
        <f>IFERROR(__xludf.DUMMYFUNCTION("IF(OR(AND(C705&lt;&gt;"""", LEN(C705)&lt;3), LEN(C705)&gt;60, AND(D705&lt;&gt;"""", NOT(ISNUMBER(D705))), AND(ISNUMBER(D705), OR(D705&lt;0.01, D705&gt;999999999)), AND(COUNTA(D705:F705, H705:N705)&gt;0, C705=""""),                  
  AND(COUNTA(C705, H705:N705)&gt;0, D705=""""), LEN("&amp;"H705)&gt;50, AND(I705&lt;&gt;"""", NOT(ISNUMBER(I705))), AND(ISNUMBER(I705), OR(I705&lt;0, I705&gt;99998)), AND(L705&lt;&gt;"""", NOT(REGEXMATCH(L705&amp;"""", ""^\d{8,14}$"")))), ""Erro"", """")"),"")</f>
      </c>
    </row>
    <row r="706" ht="15.75" customHeight="true">
      <c r="A706" s="33"/>
      <c r="B706" s="34" t="str">
        <f t="shared" si="1"/>
      </c>
      <c r="C706" s="35"/>
      <c r="D706" s="36"/>
      <c r="E706" s="37"/>
      <c r="F706" s="38"/>
      <c r="G706" s="39" t="str">
        <f t="shared" si="2"/>
      </c>
      <c r="H706" s="40"/>
      <c r="I706" s="41"/>
      <c r="J706" s="41"/>
      <c r="K706" s="41"/>
      <c r="L706" s="42"/>
      <c r="M706" s="43"/>
      <c r="N706" s="44"/>
      <c r="O706" s="45"/>
      <c r="P706" s="46" t="str">
        <f>IFERROR(__xludf.DUMMYFUNCTION("IF(OR(AND(C706&lt;&gt;"""", LEN(C706)&lt;3), LEN(C706)&gt;60, AND(D706&lt;&gt;"""", NOT(ISNUMBER(D706))), AND(ISNUMBER(D706), OR(D706&lt;0.01, D706&gt;999999999)), AND(COUNTA(D706:F706, H706:N706)&gt;0, C706=""""),                  
  AND(COUNTA(C706, H706:N706)&gt;0, D706=""""), LEN("&amp;"H706)&gt;50, AND(I706&lt;&gt;"""", NOT(ISNUMBER(I706))), AND(ISNUMBER(I706), OR(I706&lt;0, I706&gt;99998)), AND(L706&lt;&gt;"""", NOT(REGEXMATCH(L706&amp;"""", ""^\d{8,14}$"")))), ""Erro"", """")"),"")</f>
      </c>
    </row>
    <row r="707" ht="15.75" customHeight="true">
      <c r="A707" s="33"/>
      <c r="B707" s="34" t="str">
        <f t="shared" si="1"/>
      </c>
      <c r="C707" s="35"/>
      <c r="D707" s="36"/>
      <c r="E707" s="37"/>
      <c r="F707" s="38"/>
      <c r="G707" s="39" t="str">
        <f t="shared" si="2"/>
      </c>
      <c r="H707" s="40"/>
      <c r="I707" s="41"/>
      <c r="J707" s="41"/>
      <c r="K707" s="41"/>
      <c r="L707" s="42"/>
      <c r="M707" s="43"/>
      <c r="N707" s="44"/>
      <c r="O707" s="45"/>
      <c r="P707" s="46" t="str">
        <f>IFERROR(__xludf.DUMMYFUNCTION("IF(OR(AND(C707&lt;&gt;"""", LEN(C707)&lt;3), LEN(C707)&gt;60, AND(D707&lt;&gt;"""", NOT(ISNUMBER(D707))), AND(ISNUMBER(D707), OR(D707&lt;0.01, D707&gt;999999999)), AND(COUNTA(D707:F707, H707:N707)&gt;0, C707=""""),                  
  AND(COUNTA(C707, H707:N707)&gt;0, D707=""""), LEN("&amp;"H707)&gt;50, AND(I707&lt;&gt;"""", NOT(ISNUMBER(I707))), AND(ISNUMBER(I707), OR(I707&lt;0, I707&gt;99998)), AND(L707&lt;&gt;"""", NOT(REGEXMATCH(L707&amp;"""", ""^\d{8,14}$"")))), ""Erro"", """")"),"")</f>
      </c>
    </row>
    <row r="708" ht="15.75" customHeight="true">
      <c r="A708" s="33"/>
      <c r="B708" s="34" t="str">
        <f t="shared" si="1"/>
      </c>
      <c r="C708" s="35"/>
      <c r="D708" s="36"/>
      <c r="E708" s="37"/>
      <c r="F708" s="38"/>
      <c r="G708" s="39" t="str">
        <f t="shared" si="2"/>
      </c>
      <c r="H708" s="40"/>
      <c r="I708" s="41"/>
      <c r="J708" s="41"/>
      <c r="K708" s="41"/>
      <c r="L708" s="42"/>
      <c r="M708" s="43"/>
      <c r="N708" s="44"/>
      <c r="O708" s="45"/>
      <c r="P708" s="46" t="str">
        <f>IFERROR(__xludf.DUMMYFUNCTION("IF(OR(AND(C708&lt;&gt;"""", LEN(C708)&lt;3), LEN(C708)&gt;60, AND(D708&lt;&gt;"""", NOT(ISNUMBER(D708))), AND(ISNUMBER(D708), OR(D708&lt;0.01, D708&gt;999999999)), AND(COUNTA(D708:F708, H708:N708)&gt;0, C708=""""),                  
  AND(COUNTA(C708, H708:N708)&gt;0, D708=""""), LEN("&amp;"H708)&gt;50, AND(I708&lt;&gt;"""", NOT(ISNUMBER(I708))), AND(ISNUMBER(I708), OR(I708&lt;0, I708&gt;99998)), AND(L708&lt;&gt;"""", NOT(REGEXMATCH(L708&amp;"""", ""^\d{8,14}$"")))), ""Erro"", """")"),"")</f>
      </c>
    </row>
    <row r="709" ht="15.75" customHeight="true">
      <c r="A709" s="33"/>
      <c r="B709" s="34" t="str">
        <f t="shared" si="1"/>
      </c>
      <c r="C709" s="35"/>
      <c r="D709" s="36"/>
      <c r="E709" s="37"/>
      <c r="F709" s="38"/>
      <c r="G709" s="39" t="str">
        <f t="shared" si="2"/>
      </c>
      <c r="H709" s="40"/>
      <c r="I709" s="41"/>
      <c r="J709" s="41"/>
      <c r="K709" s="41"/>
      <c r="L709" s="42"/>
      <c r="M709" s="43"/>
      <c r="N709" s="44"/>
      <c r="O709" s="45"/>
      <c r="P709" s="46" t="str">
        <f>IFERROR(__xludf.DUMMYFUNCTION("IF(OR(AND(C709&lt;&gt;"""", LEN(C709)&lt;3), LEN(C709)&gt;60, AND(D709&lt;&gt;"""", NOT(ISNUMBER(D709))), AND(ISNUMBER(D709), OR(D709&lt;0.01, D709&gt;999999999)), AND(COUNTA(D709:F709, H709:N709)&gt;0, C709=""""),                  
  AND(COUNTA(C709, H709:N709)&gt;0, D709=""""), LEN("&amp;"H709)&gt;50, AND(I709&lt;&gt;"""", NOT(ISNUMBER(I709))), AND(ISNUMBER(I709), OR(I709&lt;0, I709&gt;99998)), AND(L709&lt;&gt;"""", NOT(REGEXMATCH(L709&amp;"""", ""^\d{8,14}$"")))), ""Erro"", """")"),"")</f>
      </c>
    </row>
    <row r="710" ht="15.75" customHeight="true">
      <c r="A710" s="33"/>
      <c r="B710" s="34" t="str">
        <f t="shared" si="1"/>
      </c>
      <c r="C710" s="35"/>
      <c r="D710" s="36"/>
      <c r="E710" s="37"/>
      <c r="F710" s="38"/>
      <c r="G710" s="39" t="str">
        <f t="shared" si="2"/>
      </c>
      <c r="H710" s="40"/>
      <c r="I710" s="41"/>
      <c r="J710" s="41"/>
      <c r="K710" s="41"/>
      <c r="L710" s="42"/>
      <c r="M710" s="43"/>
      <c r="N710" s="44"/>
      <c r="O710" s="45"/>
      <c r="P710" s="46" t="str">
        <f>IFERROR(__xludf.DUMMYFUNCTION("IF(OR(AND(C710&lt;&gt;"""", LEN(C710)&lt;3), LEN(C710)&gt;60, AND(D710&lt;&gt;"""", NOT(ISNUMBER(D710))), AND(ISNUMBER(D710), OR(D710&lt;0.01, D710&gt;999999999)), AND(COUNTA(D710:F710, H710:N710)&gt;0, C710=""""),                  
  AND(COUNTA(C710, H710:N710)&gt;0, D710=""""), LEN("&amp;"H710)&gt;50, AND(I710&lt;&gt;"""", NOT(ISNUMBER(I710))), AND(ISNUMBER(I710), OR(I710&lt;0, I710&gt;99998)), AND(L710&lt;&gt;"""", NOT(REGEXMATCH(L710&amp;"""", ""^\d{8,14}$"")))), ""Erro"", """")"),"")</f>
      </c>
    </row>
    <row r="711" ht="15.75" customHeight="true">
      <c r="A711" s="33"/>
      <c r="B711" s="34" t="str">
        <f t="shared" si="1"/>
      </c>
      <c r="C711" s="35"/>
      <c r="D711" s="36"/>
      <c r="E711" s="37"/>
      <c r="F711" s="38"/>
      <c r="G711" s="39" t="str">
        <f t="shared" si="2"/>
      </c>
      <c r="H711" s="40"/>
      <c r="I711" s="41"/>
      <c r="J711" s="41"/>
      <c r="K711" s="41"/>
      <c r="L711" s="42"/>
      <c r="M711" s="43"/>
      <c r="N711" s="44"/>
      <c r="O711" s="45"/>
      <c r="P711" s="46" t="str">
        <f>IFERROR(__xludf.DUMMYFUNCTION("IF(OR(AND(C711&lt;&gt;"""", LEN(C711)&lt;3), LEN(C711)&gt;60, AND(D711&lt;&gt;"""", NOT(ISNUMBER(D711))), AND(ISNUMBER(D711), OR(D711&lt;0.01, D711&gt;999999999)), AND(COUNTA(D711:F711, H711:N711)&gt;0, C711=""""),                  
  AND(COUNTA(C711, H711:N711)&gt;0, D711=""""), LEN("&amp;"H711)&gt;50, AND(I711&lt;&gt;"""", NOT(ISNUMBER(I711))), AND(ISNUMBER(I711), OR(I711&lt;0, I711&gt;99998)), AND(L711&lt;&gt;"""", NOT(REGEXMATCH(L711&amp;"""", ""^\d{8,14}$"")))), ""Erro"", """")"),"")</f>
      </c>
    </row>
    <row r="712" ht="15.75" customHeight="true">
      <c r="A712" s="33"/>
      <c r="B712" s="34" t="str">
        <f t="shared" si="1"/>
      </c>
      <c r="C712" s="35"/>
      <c r="D712" s="36"/>
      <c r="E712" s="37"/>
      <c r="F712" s="38"/>
      <c r="G712" s="39" t="str">
        <f t="shared" si="2"/>
      </c>
      <c r="H712" s="40"/>
      <c r="I712" s="41"/>
      <c r="J712" s="41"/>
      <c r="K712" s="41"/>
      <c r="L712" s="42"/>
      <c r="M712" s="43"/>
      <c r="N712" s="44"/>
      <c r="O712" s="45"/>
      <c r="P712" s="46" t="str">
        <f>IFERROR(__xludf.DUMMYFUNCTION("IF(OR(AND(C712&lt;&gt;"""", LEN(C712)&lt;3), LEN(C712)&gt;60, AND(D712&lt;&gt;"""", NOT(ISNUMBER(D712))), AND(ISNUMBER(D712), OR(D712&lt;0.01, D712&gt;999999999)), AND(COUNTA(D712:F712, H712:N712)&gt;0, C712=""""),                  
  AND(COUNTA(C712, H712:N712)&gt;0, D712=""""), LEN("&amp;"H712)&gt;50, AND(I712&lt;&gt;"""", NOT(ISNUMBER(I712))), AND(ISNUMBER(I712), OR(I712&lt;0, I712&gt;99998)), AND(L712&lt;&gt;"""", NOT(REGEXMATCH(L712&amp;"""", ""^\d{8,14}$"")))), ""Erro"", """")"),"")</f>
      </c>
    </row>
    <row r="713" ht="15.75" customHeight="true">
      <c r="A713" s="33"/>
      <c r="B713" s="34" t="str">
        <f t="shared" si="1"/>
      </c>
      <c r="C713" s="35"/>
      <c r="D713" s="36"/>
      <c r="E713" s="37"/>
      <c r="F713" s="38"/>
      <c r="G713" s="39" t="str">
        <f t="shared" si="2"/>
      </c>
      <c r="H713" s="40"/>
      <c r="I713" s="41"/>
      <c r="J713" s="41"/>
      <c r="K713" s="41"/>
      <c r="L713" s="42"/>
      <c r="M713" s="43"/>
      <c r="N713" s="44"/>
      <c r="O713" s="45"/>
      <c r="P713" s="46" t="str">
        <f>IFERROR(__xludf.DUMMYFUNCTION("IF(OR(AND(C713&lt;&gt;"""", LEN(C713)&lt;3), LEN(C713)&gt;60, AND(D713&lt;&gt;"""", NOT(ISNUMBER(D713))), AND(ISNUMBER(D713), OR(D713&lt;0.01, D713&gt;999999999)), AND(COUNTA(D713:F713, H713:N713)&gt;0, C713=""""),                  
  AND(COUNTA(C713, H713:N713)&gt;0, D713=""""), LEN("&amp;"H713)&gt;50, AND(I713&lt;&gt;"""", NOT(ISNUMBER(I713))), AND(ISNUMBER(I713), OR(I713&lt;0, I713&gt;99998)), AND(L713&lt;&gt;"""", NOT(REGEXMATCH(L713&amp;"""", ""^\d{8,14}$"")))), ""Erro"", """")"),"")</f>
      </c>
    </row>
    <row r="714" ht="15.75" customHeight="true">
      <c r="A714" s="33"/>
      <c r="B714" s="34" t="str">
        <f t="shared" si="1"/>
      </c>
      <c r="C714" s="35"/>
      <c r="D714" s="36"/>
      <c r="E714" s="37"/>
      <c r="F714" s="38"/>
      <c r="G714" s="39" t="str">
        <f t="shared" si="2"/>
      </c>
      <c r="H714" s="40"/>
      <c r="I714" s="41"/>
      <c r="J714" s="41"/>
      <c r="K714" s="41"/>
      <c r="L714" s="42"/>
      <c r="M714" s="43"/>
      <c r="N714" s="44"/>
      <c r="O714" s="45"/>
      <c r="P714" s="46" t="str">
        <f>IFERROR(__xludf.DUMMYFUNCTION("IF(OR(AND(C714&lt;&gt;"""", LEN(C714)&lt;3), LEN(C714)&gt;60, AND(D714&lt;&gt;"""", NOT(ISNUMBER(D714))), AND(ISNUMBER(D714), OR(D714&lt;0.01, D714&gt;999999999)), AND(COUNTA(D714:F714, H714:N714)&gt;0, C714=""""),                  
  AND(COUNTA(C714, H714:N714)&gt;0, D714=""""), LEN("&amp;"H714)&gt;50, AND(I714&lt;&gt;"""", NOT(ISNUMBER(I714))), AND(ISNUMBER(I714), OR(I714&lt;0, I714&gt;99998)), AND(L714&lt;&gt;"""", NOT(REGEXMATCH(L714&amp;"""", ""^\d{8,14}$"")))), ""Erro"", """")"),"")</f>
      </c>
    </row>
    <row r="715" ht="15.75" customHeight="true">
      <c r="A715" s="33"/>
      <c r="B715" s="34" t="str">
        <f t="shared" si="1"/>
      </c>
      <c r="C715" s="35"/>
      <c r="D715" s="36"/>
      <c r="E715" s="37"/>
      <c r="F715" s="38"/>
      <c r="G715" s="39" t="str">
        <f t="shared" si="2"/>
      </c>
      <c r="H715" s="40"/>
      <c r="I715" s="41"/>
      <c r="J715" s="41"/>
      <c r="K715" s="41"/>
      <c r="L715" s="42"/>
      <c r="M715" s="43"/>
      <c r="N715" s="44"/>
      <c r="O715" s="45"/>
      <c r="P715" s="46" t="str">
        <f>IFERROR(__xludf.DUMMYFUNCTION("IF(OR(AND(C715&lt;&gt;"""", LEN(C715)&lt;3), LEN(C715)&gt;60, AND(D715&lt;&gt;"""", NOT(ISNUMBER(D715))), AND(ISNUMBER(D715), OR(D715&lt;0.01, D715&gt;999999999)), AND(COUNTA(D715:F715, H715:N715)&gt;0, C715=""""),                  
  AND(COUNTA(C715, H715:N715)&gt;0, D715=""""), LEN("&amp;"H715)&gt;50, AND(I715&lt;&gt;"""", NOT(ISNUMBER(I715))), AND(ISNUMBER(I715), OR(I715&lt;0, I715&gt;99998)), AND(L715&lt;&gt;"""", NOT(REGEXMATCH(L715&amp;"""", ""^\d{8,14}$"")))), ""Erro"", """")"),"")</f>
      </c>
    </row>
    <row r="716" ht="15.75" customHeight="true">
      <c r="A716" s="33"/>
      <c r="B716" s="34" t="str">
        <f t="shared" si="1"/>
      </c>
      <c r="C716" s="35"/>
      <c r="D716" s="36"/>
      <c r="E716" s="37"/>
      <c r="F716" s="38"/>
      <c r="G716" s="39" t="str">
        <f t="shared" si="2"/>
      </c>
      <c r="H716" s="40"/>
      <c r="I716" s="41"/>
      <c r="J716" s="41"/>
      <c r="K716" s="41"/>
      <c r="L716" s="42"/>
      <c r="M716" s="43"/>
      <c r="N716" s="44"/>
      <c r="O716" s="45"/>
      <c r="P716" s="46" t="str">
        <f>IFERROR(__xludf.DUMMYFUNCTION("IF(OR(AND(C716&lt;&gt;"""", LEN(C716)&lt;3), LEN(C716)&gt;60, AND(D716&lt;&gt;"""", NOT(ISNUMBER(D716))), AND(ISNUMBER(D716), OR(D716&lt;0.01, D716&gt;999999999)), AND(COUNTA(D716:F716, H716:N716)&gt;0, C716=""""),                  
  AND(COUNTA(C716, H716:N716)&gt;0, D716=""""), LEN("&amp;"H716)&gt;50, AND(I716&lt;&gt;"""", NOT(ISNUMBER(I716))), AND(ISNUMBER(I716), OR(I716&lt;0, I716&gt;99998)), AND(L716&lt;&gt;"""", NOT(REGEXMATCH(L716&amp;"""", ""^\d{8,14}$"")))), ""Erro"", """")"),"")</f>
      </c>
    </row>
    <row r="717" ht="15.75" customHeight="true">
      <c r="A717" s="33"/>
      <c r="B717" s="34" t="str">
        <f t="shared" si="1"/>
      </c>
      <c r="C717" s="35"/>
      <c r="D717" s="36"/>
      <c r="E717" s="37"/>
      <c r="F717" s="38"/>
      <c r="G717" s="39" t="str">
        <f t="shared" si="2"/>
      </c>
      <c r="H717" s="40"/>
      <c r="I717" s="41"/>
      <c r="J717" s="41"/>
      <c r="K717" s="41"/>
      <c r="L717" s="42"/>
      <c r="M717" s="43"/>
      <c r="N717" s="44"/>
      <c r="O717" s="45"/>
      <c r="P717" s="46" t="str">
        <f>IFERROR(__xludf.DUMMYFUNCTION("IF(OR(AND(C717&lt;&gt;"""", LEN(C717)&lt;3), LEN(C717)&gt;60, AND(D717&lt;&gt;"""", NOT(ISNUMBER(D717))), AND(ISNUMBER(D717), OR(D717&lt;0.01, D717&gt;999999999)), AND(COUNTA(D717:F717, H717:N717)&gt;0, C717=""""),                  
  AND(COUNTA(C717, H717:N717)&gt;0, D717=""""), LEN("&amp;"H717)&gt;50, AND(I717&lt;&gt;"""", NOT(ISNUMBER(I717))), AND(ISNUMBER(I717), OR(I717&lt;0, I717&gt;99998)), AND(L717&lt;&gt;"""", NOT(REGEXMATCH(L717&amp;"""", ""^\d{8,14}$"")))), ""Erro"", """")"),"")</f>
      </c>
    </row>
    <row r="718" ht="15.75" customHeight="true">
      <c r="A718" s="33"/>
      <c r="B718" s="34" t="str">
        <f t="shared" si="1"/>
      </c>
      <c r="C718" s="35"/>
      <c r="D718" s="36"/>
      <c r="E718" s="37"/>
      <c r="F718" s="38"/>
      <c r="G718" s="39" t="str">
        <f t="shared" si="2"/>
      </c>
      <c r="H718" s="40"/>
      <c r="I718" s="41"/>
      <c r="J718" s="41"/>
      <c r="K718" s="41"/>
      <c r="L718" s="42"/>
      <c r="M718" s="43"/>
      <c r="N718" s="44"/>
      <c r="O718" s="45"/>
      <c r="P718" s="46" t="str">
        <f>IFERROR(__xludf.DUMMYFUNCTION("IF(OR(AND(C718&lt;&gt;"""", LEN(C718)&lt;3), LEN(C718)&gt;60, AND(D718&lt;&gt;"""", NOT(ISNUMBER(D718))), AND(ISNUMBER(D718), OR(D718&lt;0.01, D718&gt;999999999)), AND(COUNTA(D718:F718, H718:N718)&gt;0, C718=""""),                  
  AND(COUNTA(C718, H718:N718)&gt;0, D718=""""), LEN("&amp;"H718)&gt;50, AND(I718&lt;&gt;"""", NOT(ISNUMBER(I718))), AND(ISNUMBER(I718), OR(I718&lt;0, I718&gt;99998)), AND(L718&lt;&gt;"""", NOT(REGEXMATCH(L718&amp;"""", ""^\d{8,14}$"")))), ""Erro"", """")"),"")</f>
      </c>
    </row>
    <row r="719" ht="15.75" customHeight="true">
      <c r="A719" s="33"/>
      <c r="B719" s="34" t="str">
        <f t="shared" si="1"/>
      </c>
      <c r="C719" s="35"/>
      <c r="D719" s="36"/>
      <c r="E719" s="37"/>
      <c r="F719" s="38"/>
      <c r="G719" s="39" t="str">
        <f t="shared" si="2"/>
      </c>
      <c r="H719" s="40"/>
      <c r="I719" s="41"/>
      <c r="J719" s="41"/>
      <c r="K719" s="41"/>
      <c r="L719" s="42"/>
      <c r="M719" s="43"/>
      <c r="N719" s="44"/>
      <c r="O719" s="45"/>
      <c r="P719" s="46" t="str">
        <f>IFERROR(__xludf.DUMMYFUNCTION("IF(OR(AND(C719&lt;&gt;"""", LEN(C719)&lt;3), LEN(C719)&gt;60, AND(D719&lt;&gt;"""", NOT(ISNUMBER(D719))), AND(ISNUMBER(D719), OR(D719&lt;0.01, D719&gt;999999999)), AND(COUNTA(D719:F719, H719:N719)&gt;0, C719=""""),                  
  AND(COUNTA(C719, H719:N719)&gt;0, D719=""""), LEN("&amp;"H719)&gt;50, AND(I719&lt;&gt;"""", NOT(ISNUMBER(I719))), AND(ISNUMBER(I719), OR(I719&lt;0, I719&gt;99998)), AND(L719&lt;&gt;"""", NOT(REGEXMATCH(L719&amp;"""", ""^\d{8,14}$"")))), ""Erro"", """")"),"")</f>
      </c>
    </row>
    <row r="720" ht="15.75" customHeight="true">
      <c r="A720" s="33"/>
      <c r="B720" s="34" t="str">
        <f t="shared" si="1"/>
      </c>
      <c r="C720" s="35"/>
      <c r="D720" s="36"/>
      <c r="E720" s="37"/>
      <c r="F720" s="38"/>
      <c r="G720" s="39" t="str">
        <f t="shared" si="2"/>
      </c>
      <c r="H720" s="40"/>
      <c r="I720" s="41"/>
      <c r="J720" s="41"/>
      <c r="K720" s="41"/>
      <c r="L720" s="42"/>
      <c r="M720" s="43"/>
      <c r="N720" s="44"/>
      <c r="O720" s="45"/>
      <c r="P720" s="46" t="str">
        <f>IFERROR(__xludf.DUMMYFUNCTION("IF(OR(AND(C720&lt;&gt;"""", LEN(C720)&lt;3), LEN(C720)&gt;60, AND(D720&lt;&gt;"""", NOT(ISNUMBER(D720))), AND(ISNUMBER(D720), OR(D720&lt;0.01, D720&gt;999999999)), AND(COUNTA(D720:F720, H720:N720)&gt;0, C720=""""),                  
  AND(COUNTA(C720, H720:N720)&gt;0, D720=""""), LEN("&amp;"H720)&gt;50, AND(I720&lt;&gt;"""", NOT(ISNUMBER(I720))), AND(ISNUMBER(I720), OR(I720&lt;0, I720&gt;99998)), AND(L720&lt;&gt;"""", NOT(REGEXMATCH(L720&amp;"""", ""^\d{8,14}$"")))), ""Erro"", """")"),"")</f>
      </c>
    </row>
    <row r="721" ht="15.75" customHeight="true">
      <c r="A721" s="33"/>
      <c r="B721" s="34" t="str">
        <f t="shared" si="1"/>
      </c>
      <c r="C721" s="35"/>
      <c r="D721" s="36"/>
      <c r="E721" s="37"/>
      <c r="F721" s="38"/>
      <c r="G721" s="39" t="str">
        <f t="shared" si="2"/>
      </c>
      <c r="H721" s="40"/>
      <c r="I721" s="41"/>
      <c r="J721" s="41"/>
      <c r="K721" s="41"/>
      <c r="L721" s="42"/>
      <c r="M721" s="43"/>
      <c r="N721" s="44"/>
      <c r="O721" s="45"/>
      <c r="P721" s="46" t="str">
        <f>IFERROR(__xludf.DUMMYFUNCTION("IF(OR(AND(C721&lt;&gt;"""", LEN(C721)&lt;3), LEN(C721)&gt;60, AND(D721&lt;&gt;"""", NOT(ISNUMBER(D721))), AND(ISNUMBER(D721), OR(D721&lt;0.01, D721&gt;999999999)), AND(COUNTA(D721:F721, H721:N721)&gt;0, C721=""""),                  
  AND(COUNTA(C721, H721:N721)&gt;0, D721=""""), LEN("&amp;"H721)&gt;50, AND(I721&lt;&gt;"""", NOT(ISNUMBER(I721))), AND(ISNUMBER(I721), OR(I721&lt;0, I721&gt;99998)), AND(L721&lt;&gt;"""", NOT(REGEXMATCH(L721&amp;"""", ""^\d{8,14}$"")))), ""Erro"", """")"),"")</f>
      </c>
    </row>
    <row r="722" ht="15.75" customHeight="true">
      <c r="A722" s="33"/>
      <c r="B722" s="34" t="str">
        <f t="shared" si="1"/>
      </c>
      <c r="C722" s="35"/>
      <c r="D722" s="36"/>
      <c r="E722" s="37"/>
      <c r="F722" s="38"/>
      <c r="G722" s="39" t="str">
        <f t="shared" si="2"/>
      </c>
      <c r="H722" s="40"/>
      <c r="I722" s="41"/>
      <c r="J722" s="41"/>
      <c r="K722" s="41"/>
      <c r="L722" s="42"/>
      <c r="M722" s="43"/>
      <c r="N722" s="44"/>
      <c r="O722" s="45"/>
      <c r="P722" s="46" t="str">
        <f>IFERROR(__xludf.DUMMYFUNCTION("IF(OR(AND(C722&lt;&gt;"""", LEN(C722)&lt;3), LEN(C722)&gt;60, AND(D722&lt;&gt;"""", NOT(ISNUMBER(D722))), AND(ISNUMBER(D722), OR(D722&lt;0.01, D722&gt;999999999)), AND(COUNTA(D722:F722, H722:N722)&gt;0, C722=""""),                  
  AND(COUNTA(C722, H722:N722)&gt;0, D722=""""), LEN("&amp;"H722)&gt;50, AND(I722&lt;&gt;"""", NOT(ISNUMBER(I722))), AND(ISNUMBER(I722), OR(I722&lt;0, I722&gt;99998)), AND(L722&lt;&gt;"""", NOT(REGEXMATCH(L722&amp;"""", ""^\d{8,14}$"")))), ""Erro"", """")"),"")</f>
      </c>
    </row>
    <row r="723" ht="15.75" customHeight="true">
      <c r="A723" s="33"/>
      <c r="B723" s="34" t="str">
        <f t="shared" si="1"/>
      </c>
      <c r="C723" s="35"/>
      <c r="D723" s="36"/>
      <c r="E723" s="37"/>
      <c r="F723" s="38"/>
      <c r="G723" s="39" t="str">
        <f t="shared" si="2"/>
      </c>
      <c r="H723" s="40"/>
      <c r="I723" s="41"/>
      <c r="J723" s="41"/>
      <c r="K723" s="41"/>
      <c r="L723" s="42"/>
      <c r="M723" s="43"/>
      <c r="N723" s="44"/>
      <c r="O723" s="45"/>
      <c r="P723" s="46" t="str">
        <f>IFERROR(__xludf.DUMMYFUNCTION("IF(OR(AND(C723&lt;&gt;"""", LEN(C723)&lt;3), LEN(C723)&gt;60, AND(D723&lt;&gt;"""", NOT(ISNUMBER(D723))), AND(ISNUMBER(D723), OR(D723&lt;0.01, D723&gt;999999999)), AND(COUNTA(D723:F723, H723:N723)&gt;0, C723=""""),                  
  AND(COUNTA(C723, H723:N723)&gt;0, D723=""""), LEN("&amp;"H723)&gt;50, AND(I723&lt;&gt;"""", NOT(ISNUMBER(I723))), AND(ISNUMBER(I723), OR(I723&lt;0, I723&gt;99998)), AND(L723&lt;&gt;"""", NOT(REGEXMATCH(L723&amp;"""", ""^\d{8,14}$"")))), ""Erro"", """")"),"")</f>
      </c>
    </row>
    <row r="724" ht="15.75" customHeight="true">
      <c r="A724" s="33"/>
      <c r="B724" s="34" t="str">
        <f t="shared" si="1"/>
      </c>
      <c r="C724" s="35"/>
      <c r="D724" s="36"/>
      <c r="E724" s="37"/>
      <c r="F724" s="38"/>
      <c r="G724" s="39" t="str">
        <f t="shared" si="2"/>
      </c>
      <c r="H724" s="40"/>
      <c r="I724" s="41"/>
      <c r="J724" s="41"/>
      <c r="K724" s="41"/>
      <c r="L724" s="42"/>
      <c r="M724" s="43"/>
      <c r="N724" s="44"/>
      <c r="O724" s="45"/>
      <c r="P724" s="46" t="str">
        <f>IFERROR(__xludf.DUMMYFUNCTION("IF(OR(AND(C724&lt;&gt;"""", LEN(C724)&lt;3), LEN(C724)&gt;60, AND(D724&lt;&gt;"""", NOT(ISNUMBER(D724))), AND(ISNUMBER(D724), OR(D724&lt;0.01, D724&gt;999999999)), AND(COUNTA(D724:F724, H724:N724)&gt;0, C724=""""),                  
  AND(COUNTA(C724, H724:N724)&gt;0, D724=""""), LEN("&amp;"H724)&gt;50, AND(I724&lt;&gt;"""", NOT(ISNUMBER(I724))), AND(ISNUMBER(I724), OR(I724&lt;0, I724&gt;99998)), AND(L724&lt;&gt;"""", NOT(REGEXMATCH(L724&amp;"""", ""^\d{8,14}$"")))), ""Erro"", """")"),"")</f>
      </c>
    </row>
    <row r="725" ht="15.75" customHeight="true">
      <c r="A725" s="33"/>
      <c r="B725" s="34" t="str">
        <f t="shared" si="1"/>
      </c>
      <c r="C725" s="35"/>
      <c r="D725" s="36"/>
      <c r="E725" s="37"/>
      <c r="F725" s="38"/>
      <c r="G725" s="39" t="str">
        <f t="shared" si="2"/>
      </c>
      <c r="H725" s="40"/>
      <c r="I725" s="41"/>
      <c r="J725" s="41"/>
      <c r="K725" s="41"/>
      <c r="L725" s="42"/>
      <c r="M725" s="43"/>
      <c r="N725" s="44"/>
      <c r="O725" s="45"/>
      <c r="P725" s="46" t="str">
        <f>IFERROR(__xludf.DUMMYFUNCTION("IF(OR(AND(C725&lt;&gt;"""", LEN(C725)&lt;3), LEN(C725)&gt;60, AND(D725&lt;&gt;"""", NOT(ISNUMBER(D725))), AND(ISNUMBER(D725), OR(D725&lt;0.01, D725&gt;999999999)), AND(COUNTA(D725:F725, H725:N725)&gt;0, C725=""""),                  
  AND(COUNTA(C725, H725:N725)&gt;0, D725=""""), LEN("&amp;"H725)&gt;50, AND(I725&lt;&gt;"""", NOT(ISNUMBER(I725))), AND(ISNUMBER(I725), OR(I725&lt;0, I725&gt;99998)), AND(L725&lt;&gt;"""", NOT(REGEXMATCH(L725&amp;"""", ""^\d{8,14}$"")))), ""Erro"", """")"),"")</f>
      </c>
    </row>
    <row r="726" ht="15.75" customHeight="true">
      <c r="A726" s="33"/>
      <c r="B726" s="34" t="str">
        <f t="shared" si="1"/>
      </c>
      <c r="C726" s="35"/>
      <c r="D726" s="36"/>
      <c r="E726" s="37"/>
      <c r="F726" s="38"/>
      <c r="G726" s="39" t="str">
        <f t="shared" si="2"/>
      </c>
      <c r="H726" s="40"/>
      <c r="I726" s="41"/>
      <c r="J726" s="41"/>
      <c r="K726" s="41"/>
      <c r="L726" s="42"/>
      <c r="M726" s="43"/>
      <c r="N726" s="44"/>
      <c r="O726" s="45"/>
      <c r="P726" s="46" t="str">
        <f>IFERROR(__xludf.DUMMYFUNCTION("IF(OR(AND(C726&lt;&gt;"""", LEN(C726)&lt;3), LEN(C726)&gt;60, AND(D726&lt;&gt;"""", NOT(ISNUMBER(D726))), AND(ISNUMBER(D726), OR(D726&lt;0.01, D726&gt;999999999)), AND(COUNTA(D726:F726, H726:N726)&gt;0, C726=""""),                  
  AND(COUNTA(C726, H726:N726)&gt;0, D726=""""), LEN("&amp;"H726)&gt;50, AND(I726&lt;&gt;"""", NOT(ISNUMBER(I726))), AND(ISNUMBER(I726), OR(I726&lt;0, I726&gt;99998)), AND(L726&lt;&gt;"""", NOT(REGEXMATCH(L726&amp;"""", ""^\d{8,14}$"")))), ""Erro"", """")"),"")</f>
      </c>
    </row>
    <row r="727" ht="15.75" customHeight="true">
      <c r="A727" s="33"/>
      <c r="B727" s="34" t="str">
        <f t="shared" si="1"/>
      </c>
      <c r="C727" s="35"/>
      <c r="D727" s="36"/>
      <c r="E727" s="37"/>
      <c r="F727" s="38"/>
      <c r="G727" s="39" t="str">
        <f t="shared" si="2"/>
      </c>
      <c r="H727" s="40"/>
      <c r="I727" s="41"/>
      <c r="J727" s="41"/>
      <c r="K727" s="41"/>
      <c r="L727" s="42"/>
      <c r="M727" s="43"/>
      <c r="N727" s="44"/>
      <c r="O727" s="45"/>
      <c r="P727" s="46" t="str">
        <f>IFERROR(__xludf.DUMMYFUNCTION("IF(OR(AND(C727&lt;&gt;"""", LEN(C727)&lt;3), LEN(C727)&gt;60, AND(D727&lt;&gt;"""", NOT(ISNUMBER(D727))), AND(ISNUMBER(D727), OR(D727&lt;0.01, D727&gt;999999999)), AND(COUNTA(D727:F727, H727:N727)&gt;0, C727=""""),                  
  AND(COUNTA(C727, H727:N727)&gt;0, D727=""""), LEN("&amp;"H727)&gt;50, AND(I727&lt;&gt;"""", NOT(ISNUMBER(I727))), AND(ISNUMBER(I727), OR(I727&lt;0, I727&gt;99998)), AND(L727&lt;&gt;"""", NOT(REGEXMATCH(L727&amp;"""", ""^\d{8,14}$"")))), ""Erro"", """")"),"")</f>
      </c>
    </row>
    <row r="728" ht="15.75" customHeight="true">
      <c r="A728" s="33"/>
      <c r="B728" s="34" t="str">
        <f t="shared" si="1"/>
      </c>
      <c r="C728" s="35"/>
      <c r="D728" s="36"/>
      <c r="E728" s="37"/>
      <c r="F728" s="38"/>
      <c r="G728" s="39" t="str">
        <f t="shared" si="2"/>
      </c>
      <c r="H728" s="40"/>
      <c r="I728" s="41"/>
      <c r="J728" s="41"/>
      <c r="K728" s="41"/>
      <c r="L728" s="42"/>
      <c r="M728" s="43"/>
      <c r="N728" s="44"/>
      <c r="O728" s="45"/>
      <c r="P728" s="46" t="str">
        <f>IFERROR(__xludf.DUMMYFUNCTION("IF(OR(AND(C728&lt;&gt;"""", LEN(C728)&lt;3), LEN(C728)&gt;60, AND(D728&lt;&gt;"""", NOT(ISNUMBER(D728))), AND(ISNUMBER(D728), OR(D728&lt;0.01, D728&gt;999999999)), AND(COUNTA(D728:F728, H728:N728)&gt;0, C728=""""),                  
  AND(COUNTA(C728, H728:N728)&gt;0, D728=""""), LEN("&amp;"H728)&gt;50, AND(I728&lt;&gt;"""", NOT(ISNUMBER(I728))), AND(ISNUMBER(I728), OR(I728&lt;0, I728&gt;99998)), AND(L728&lt;&gt;"""", NOT(REGEXMATCH(L728&amp;"""", ""^\d{8,14}$"")))), ""Erro"", """")"),"")</f>
      </c>
    </row>
    <row r="729" ht="15.75" customHeight="true">
      <c r="A729" s="33"/>
      <c r="B729" s="34" t="str">
        <f t="shared" si="1"/>
      </c>
      <c r="C729" s="35"/>
      <c r="D729" s="36"/>
      <c r="E729" s="37"/>
      <c r="F729" s="38"/>
      <c r="G729" s="39" t="str">
        <f t="shared" si="2"/>
      </c>
      <c r="H729" s="40"/>
      <c r="I729" s="41"/>
      <c r="J729" s="41"/>
      <c r="K729" s="41"/>
      <c r="L729" s="42"/>
      <c r="M729" s="43"/>
      <c r="N729" s="44"/>
      <c r="O729" s="45"/>
      <c r="P729" s="46" t="str">
        <f>IFERROR(__xludf.DUMMYFUNCTION("IF(OR(AND(C729&lt;&gt;"""", LEN(C729)&lt;3), LEN(C729)&gt;60, AND(D729&lt;&gt;"""", NOT(ISNUMBER(D729))), AND(ISNUMBER(D729), OR(D729&lt;0.01, D729&gt;999999999)), AND(COUNTA(D729:F729, H729:N729)&gt;0, C729=""""),                  
  AND(COUNTA(C729, H729:N729)&gt;0, D729=""""), LEN("&amp;"H729)&gt;50, AND(I729&lt;&gt;"""", NOT(ISNUMBER(I729))), AND(ISNUMBER(I729), OR(I729&lt;0, I729&gt;99998)), AND(L729&lt;&gt;"""", NOT(REGEXMATCH(L729&amp;"""", ""^\d{8,14}$"")))), ""Erro"", """")"),"")</f>
      </c>
    </row>
    <row r="730" ht="15.75" customHeight="true">
      <c r="A730" s="33"/>
      <c r="B730" s="34" t="str">
        <f t="shared" si="1"/>
      </c>
      <c r="C730" s="35"/>
      <c r="D730" s="36"/>
      <c r="E730" s="37"/>
      <c r="F730" s="38"/>
      <c r="G730" s="39" t="str">
        <f t="shared" si="2"/>
      </c>
      <c r="H730" s="40"/>
      <c r="I730" s="41"/>
      <c r="J730" s="41"/>
      <c r="K730" s="41"/>
      <c r="L730" s="42"/>
      <c r="M730" s="43"/>
      <c r="N730" s="44"/>
      <c r="O730" s="45"/>
      <c r="P730" s="46" t="str">
        <f>IFERROR(__xludf.DUMMYFUNCTION("IF(OR(AND(C730&lt;&gt;"""", LEN(C730)&lt;3), LEN(C730)&gt;60, AND(D730&lt;&gt;"""", NOT(ISNUMBER(D730))), AND(ISNUMBER(D730), OR(D730&lt;0.01, D730&gt;999999999)), AND(COUNTA(D730:F730, H730:N730)&gt;0, C730=""""),                  
  AND(COUNTA(C730, H730:N730)&gt;0, D730=""""), LEN("&amp;"H730)&gt;50, AND(I730&lt;&gt;"""", NOT(ISNUMBER(I730))), AND(ISNUMBER(I730), OR(I730&lt;0, I730&gt;99998)), AND(L730&lt;&gt;"""", NOT(REGEXMATCH(L730&amp;"""", ""^\d{8,14}$"")))), ""Erro"", """")"),"")</f>
      </c>
    </row>
    <row r="731" ht="15.75" customHeight="true">
      <c r="A731" s="33"/>
      <c r="B731" s="34" t="str">
        <f t="shared" si="1"/>
      </c>
      <c r="C731" s="35"/>
      <c r="D731" s="36"/>
      <c r="E731" s="37"/>
      <c r="F731" s="38"/>
      <c r="G731" s="39" t="str">
        <f t="shared" si="2"/>
      </c>
      <c r="H731" s="40"/>
      <c r="I731" s="41"/>
      <c r="J731" s="41"/>
      <c r="K731" s="41"/>
      <c r="L731" s="42"/>
      <c r="M731" s="43"/>
      <c r="N731" s="44"/>
      <c r="O731" s="45"/>
      <c r="P731" s="46" t="str">
        <f>IFERROR(__xludf.DUMMYFUNCTION("IF(OR(AND(C731&lt;&gt;"""", LEN(C731)&lt;3), LEN(C731)&gt;60, AND(D731&lt;&gt;"""", NOT(ISNUMBER(D731))), AND(ISNUMBER(D731), OR(D731&lt;0.01, D731&gt;999999999)), AND(COUNTA(D731:F731, H731:N731)&gt;0, C731=""""),                  
  AND(COUNTA(C731, H731:N731)&gt;0, D731=""""), LEN("&amp;"H731)&gt;50, AND(I731&lt;&gt;"""", NOT(ISNUMBER(I731))), AND(ISNUMBER(I731), OR(I731&lt;0, I731&gt;99998)), AND(L731&lt;&gt;"""", NOT(REGEXMATCH(L731&amp;"""", ""^\d{8,14}$"")))), ""Erro"", """")"),"")</f>
      </c>
    </row>
    <row r="732" ht="15.75" customHeight="true">
      <c r="A732" s="33"/>
      <c r="B732" s="34" t="str">
        <f t="shared" si="1"/>
      </c>
      <c r="C732" s="35"/>
      <c r="D732" s="36"/>
      <c r="E732" s="37"/>
      <c r="F732" s="38"/>
      <c r="G732" s="39" t="str">
        <f t="shared" si="2"/>
      </c>
      <c r="H732" s="40"/>
      <c r="I732" s="41"/>
      <c r="J732" s="41"/>
      <c r="K732" s="41"/>
      <c r="L732" s="42"/>
      <c r="M732" s="43"/>
      <c r="N732" s="44"/>
      <c r="O732" s="45"/>
      <c r="P732" s="46" t="str">
        <f>IFERROR(__xludf.DUMMYFUNCTION("IF(OR(AND(C732&lt;&gt;"""", LEN(C732)&lt;3), LEN(C732)&gt;60, AND(D732&lt;&gt;"""", NOT(ISNUMBER(D732))), AND(ISNUMBER(D732), OR(D732&lt;0.01, D732&gt;999999999)), AND(COUNTA(D732:F732, H732:N732)&gt;0, C732=""""),                  
  AND(COUNTA(C732, H732:N732)&gt;0, D732=""""), LEN("&amp;"H732)&gt;50, AND(I732&lt;&gt;"""", NOT(ISNUMBER(I732))), AND(ISNUMBER(I732), OR(I732&lt;0, I732&gt;99998)), AND(L732&lt;&gt;"""", NOT(REGEXMATCH(L732&amp;"""", ""^\d{8,14}$"")))), ""Erro"", """")"),"")</f>
      </c>
    </row>
    <row r="733" ht="15.75" customHeight="true">
      <c r="A733" s="33"/>
      <c r="B733" s="34" t="str">
        <f t="shared" si="1"/>
      </c>
      <c r="C733" s="35"/>
      <c r="D733" s="36"/>
      <c r="E733" s="37"/>
      <c r="F733" s="38"/>
      <c r="G733" s="39" t="str">
        <f t="shared" si="2"/>
      </c>
      <c r="H733" s="40"/>
      <c r="I733" s="41"/>
      <c r="J733" s="41"/>
      <c r="K733" s="41"/>
      <c r="L733" s="42"/>
      <c r="M733" s="43"/>
      <c r="N733" s="44"/>
      <c r="O733" s="45"/>
      <c r="P733" s="46" t="str">
        <f>IFERROR(__xludf.DUMMYFUNCTION("IF(OR(AND(C733&lt;&gt;"""", LEN(C733)&lt;3), LEN(C733)&gt;60, AND(D733&lt;&gt;"""", NOT(ISNUMBER(D733))), AND(ISNUMBER(D733), OR(D733&lt;0.01, D733&gt;999999999)), AND(COUNTA(D733:F733, H733:N733)&gt;0, C733=""""),                  
  AND(COUNTA(C733, H733:N733)&gt;0, D733=""""), LEN("&amp;"H733)&gt;50, AND(I733&lt;&gt;"""", NOT(ISNUMBER(I733))), AND(ISNUMBER(I733), OR(I733&lt;0, I733&gt;99998)), AND(L733&lt;&gt;"""", NOT(REGEXMATCH(L733&amp;"""", ""^\d{8,14}$"")))), ""Erro"", """")"),"")</f>
      </c>
    </row>
    <row r="734" ht="15.75" customHeight="true">
      <c r="A734" s="33"/>
      <c r="B734" s="34" t="str">
        <f t="shared" si="1"/>
      </c>
      <c r="C734" s="35"/>
      <c r="D734" s="36"/>
      <c r="E734" s="37"/>
      <c r="F734" s="38"/>
      <c r="G734" s="39" t="str">
        <f t="shared" si="2"/>
      </c>
      <c r="H734" s="40"/>
      <c r="I734" s="41"/>
      <c r="J734" s="41"/>
      <c r="K734" s="41"/>
      <c r="L734" s="42"/>
      <c r="M734" s="43"/>
      <c r="N734" s="44"/>
      <c r="O734" s="45"/>
      <c r="P734" s="46" t="str">
        <f>IFERROR(__xludf.DUMMYFUNCTION("IF(OR(AND(C734&lt;&gt;"""", LEN(C734)&lt;3), LEN(C734)&gt;60, AND(D734&lt;&gt;"""", NOT(ISNUMBER(D734))), AND(ISNUMBER(D734), OR(D734&lt;0.01, D734&gt;999999999)), AND(COUNTA(D734:F734, H734:N734)&gt;0, C734=""""),                  
  AND(COUNTA(C734, H734:N734)&gt;0, D734=""""), LEN("&amp;"H734)&gt;50, AND(I734&lt;&gt;"""", NOT(ISNUMBER(I734))), AND(ISNUMBER(I734), OR(I734&lt;0, I734&gt;99998)), AND(L734&lt;&gt;"""", NOT(REGEXMATCH(L734&amp;"""", ""^\d{8,14}$"")))), ""Erro"", """")"),"")</f>
      </c>
    </row>
    <row r="735" ht="15.75" customHeight="true">
      <c r="A735" s="33"/>
      <c r="B735" s="34" t="str">
        <f t="shared" si="1"/>
      </c>
      <c r="C735" s="35"/>
      <c r="D735" s="36"/>
      <c r="E735" s="37"/>
      <c r="F735" s="38"/>
      <c r="G735" s="39" t="str">
        <f t="shared" si="2"/>
      </c>
      <c r="H735" s="40"/>
      <c r="I735" s="41"/>
      <c r="J735" s="41"/>
      <c r="K735" s="41"/>
      <c r="L735" s="42"/>
      <c r="M735" s="43"/>
      <c r="N735" s="44"/>
      <c r="O735" s="45"/>
      <c r="P735" s="46" t="str">
        <f>IFERROR(__xludf.DUMMYFUNCTION("IF(OR(AND(C735&lt;&gt;"""", LEN(C735)&lt;3), LEN(C735)&gt;60, AND(D735&lt;&gt;"""", NOT(ISNUMBER(D735))), AND(ISNUMBER(D735), OR(D735&lt;0.01, D735&gt;999999999)), AND(COUNTA(D735:F735, H735:N735)&gt;0, C735=""""),                  
  AND(COUNTA(C735, H735:N735)&gt;0, D735=""""), LEN("&amp;"H735)&gt;50, AND(I735&lt;&gt;"""", NOT(ISNUMBER(I735))), AND(ISNUMBER(I735), OR(I735&lt;0, I735&gt;99998)), AND(L735&lt;&gt;"""", NOT(REGEXMATCH(L735&amp;"""", ""^\d{8,14}$"")))), ""Erro"", """")"),"")</f>
      </c>
    </row>
    <row r="736" ht="15.75" customHeight="true">
      <c r="A736" s="33"/>
      <c r="B736" s="34" t="str">
        <f t="shared" si="1"/>
      </c>
      <c r="C736" s="35"/>
      <c r="D736" s="36"/>
      <c r="E736" s="37"/>
      <c r="F736" s="38"/>
      <c r="G736" s="39" t="str">
        <f t="shared" si="2"/>
      </c>
      <c r="H736" s="40"/>
      <c r="I736" s="41"/>
      <c r="J736" s="41"/>
      <c r="K736" s="41"/>
      <c r="L736" s="42"/>
      <c r="M736" s="43"/>
      <c r="N736" s="44"/>
      <c r="O736" s="45"/>
      <c r="P736" s="46" t="str">
        <f>IFERROR(__xludf.DUMMYFUNCTION("IF(OR(AND(C736&lt;&gt;"""", LEN(C736)&lt;3), LEN(C736)&gt;60, AND(D736&lt;&gt;"""", NOT(ISNUMBER(D736))), AND(ISNUMBER(D736), OR(D736&lt;0.01, D736&gt;999999999)), AND(COUNTA(D736:F736, H736:N736)&gt;0, C736=""""),                  
  AND(COUNTA(C736, H736:N736)&gt;0, D736=""""), LEN("&amp;"H736)&gt;50, AND(I736&lt;&gt;"""", NOT(ISNUMBER(I736))), AND(ISNUMBER(I736), OR(I736&lt;0, I736&gt;99998)), AND(L736&lt;&gt;"""", NOT(REGEXMATCH(L736&amp;"""", ""^\d{8,14}$"")))), ""Erro"", """")"),"")</f>
      </c>
    </row>
    <row r="737" ht="15.75" customHeight="true">
      <c r="A737" s="33"/>
      <c r="B737" s="34" t="str">
        <f t="shared" si="1"/>
      </c>
      <c r="C737" s="35"/>
      <c r="D737" s="36"/>
      <c r="E737" s="37"/>
      <c r="F737" s="38"/>
      <c r="G737" s="39" t="str">
        <f t="shared" si="2"/>
      </c>
      <c r="H737" s="40"/>
      <c r="I737" s="41"/>
      <c r="J737" s="41"/>
      <c r="K737" s="41"/>
      <c r="L737" s="42"/>
      <c r="M737" s="43"/>
      <c r="N737" s="44"/>
      <c r="O737" s="45"/>
      <c r="P737" s="46" t="str">
        <f>IFERROR(__xludf.DUMMYFUNCTION("IF(OR(AND(C737&lt;&gt;"""", LEN(C737)&lt;3), LEN(C737)&gt;60, AND(D737&lt;&gt;"""", NOT(ISNUMBER(D737))), AND(ISNUMBER(D737), OR(D737&lt;0.01, D737&gt;999999999)), AND(COUNTA(D737:F737, H737:N737)&gt;0, C737=""""),                  
  AND(COUNTA(C737, H737:N737)&gt;0, D737=""""), LEN("&amp;"H737)&gt;50, AND(I737&lt;&gt;"""", NOT(ISNUMBER(I737))), AND(ISNUMBER(I737), OR(I737&lt;0, I737&gt;99998)), AND(L737&lt;&gt;"""", NOT(REGEXMATCH(L737&amp;"""", ""^\d{8,14}$"")))), ""Erro"", """")"),"")</f>
      </c>
    </row>
    <row r="738" ht="15.75" customHeight="true">
      <c r="A738" s="33"/>
      <c r="B738" s="34" t="str">
        <f t="shared" si="1"/>
      </c>
      <c r="C738" s="35"/>
      <c r="D738" s="36"/>
      <c r="E738" s="37"/>
      <c r="F738" s="38"/>
      <c r="G738" s="39" t="str">
        <f t="shared" si="2"/>
      </c>
      <c r="H738" s="40"/>
      <c r="I738" s="41"/>
      <c r="J738" s="41"/>
      <c r="K738" s="41"/>
      <c r="L738" s="42"/>
      <c r="M738" s="43"/>
      <c r="N738" s="44"/>
      <c r="O738" s="45"/>
      <c r="P738" s="46" t="str">
        <f>IFERROR(__xludf.DUMMYFUNCTION("IF(OR(AND(C738&lt;&gt;"""", LEN(C738)&lt;3), LEN(C738)&gt;60, AND(D738&lt;&gt;"""", NOT(ISNUMBER(D738))), AND(ISNUMBER(D738), OR(D738&lt;0.01, D738&gt;999999999)), AND(COUNTA(D738:F738, H738:N738)&gt;0, C738=""""),                  
  AND(COUNTA(C738, H738:N738)&gt;0, D738=""""), LEN("&amp;"H738)&gt;50, AND(I738&lt;&gt;"""", NOT(ISNUMBER(I738))), AND(ISNUMBER(I738), OR(I738&lt;0, I738&gt;99998)), AND(L738&lt;&gt;"""", NOT(REGEXMATCH(L738&amp;"""", ""^\d{8,14}$"")))), ""Erro"", """")"),"")</f>
      </c>
    </row>
    <row r="739" ht="15.75" customHeight="true">
      <c r="A739" s="33"/>
      <c r="B739" s="34" t="str">
        <f t="shared" si="1"/>
      </c>
      <c r="C739" s="35"/>
      <c r="D739" s="36"/>
      <c r="E739" s="37"/>
      <c r="F739" s="38"/>
      <c r="G739" s="39" t="str">
        <f t="shared" si="2"/>
      </c>
      <c r="H739" s="40"/>
      <c r="I739" s="41"/>
      <c r="J739" s="41"/>
      <c r="K739" s="41"/>
      <c r="L739" s="42"/>
      <c r="M739" s="43"/>
      <c r="N739" s="44"/>
      <c r="O739" s="45"/>
      <c r="P739" s="46" t="str">
        <f>IFERROR(__xludf.DUMMYFUNCTION("IF(OR(AND(C739&lt;&gt;"""", LEN(C739)&lt;3), LEN(C739)&gt;60, AND(D739&lt;&gt;"""", NOT(ISNUMBER(D739))), AND(ISNUMBER(D739), OR(D739&lt;0.01, D739&gt;999999999)), AND(COUNTA(D739:F739, H739:N739)&gt;0, C739=""""),                  
  AND(COUNTA(C739, H739:N739)&gt;0, D739=""""), LEN("&amp;"H739)&gt;50, AND(I739&lt;&gt;"""", NOT(ISNUMBER(I739))), AND(ISNUMBER(I739), OR(I739&lt;0, I739&gt;99998)), AND(L739&lt;&gt;"""", NOT(REGEXMATCH(L739&amp;"""", ""^\d{8,14}$"")))), ""Erro"", """")"),"")</f>
      </c>
    </row>
    <row r="740" ht="15.75" customHeight="true">
      <c r="A740" s="33"/>
      <c r="B740" s="34" t="str">
        <f t="shared" si="1"/>
      </c>
      <c r="C740" s="35"/>
      <c r="D740" s="36"/>
      <c r="E740" s="37"/>
      <c r="F740" s="38"/>
      <c r="G740" s="39" t="str">
        <f t="shared" si="2"/>
      </c>
      <c r="H740" s="40"/>
      <c r="I740" s="41"/>
      <c r="J740" s="41"/>
      <c r="K740" s="41"/>
      <c r="L740" s="42"/>
      <c r="M740" s="43"/>
      <c r="N740" s="44"/>
      <c r="O740" s="45"/>
      <c r="P740" s="46" t="str">
        <f>IFERROR(__xludf.DUMMYFUNCTION("IF(OR(AND(C740&lt;&gt;"""", LEN(C740)&lt;3), LEN(C740)&gt;60, AND(D740&lt;&gt;"""", NOT(ISNUMBER(D740))), AND(ISNUMBER(D740), OR(D740&lt;0.01, D740&gt;999999999)), AND(COUNTA(D740:F740, H740:N740)&gt;0, C740=""""),                  
  AND(COUNTA(C740, H740:N740)&gt;0, D740=""""), LEN("&amp;"H740)&gt;50, AND(I740&lt;&gt;"""", NOT(ISNUMBER(I740))), AND(ISNUMBER(I740), OR(I740&lt;0, I740&gt;99998)), AND(L740&lt;&gt;"""", NOT(REGEXMATCH(L740&amp;"""", ""^\d{8,14}$"")))), ""Erro"", """")"),"")</f>
      </c>
    </row>
    <row r="741" ht="15.75" customHeight="true">
      <c r="A741" s="33"/>
      <c r="B741" s="34" t="str">
        <f t="shared" si="1"/>
      </c>
      <c r="C741" s="35"/>
      <c r="D741" s="36"/>
      <c r="E741" s="37"/>
      <c r="F741" s="38"/>
      <c r="G741" s="39" t="str">
        <f t="shared" si="2"/>
      </c>
      <c r="H741" s="40"/>
      <c r="I741" s="41"/>
      <c r="J741" s="41"/>
      <c r="K741" s="41"/>
      <c r="L741" s="42"/>
      <c r="M741" s="43"/>
      <c r="N741" s="44"/>
      <c r="O741" s="45"/>
      <c r="P741" s="46" t="str">
        <f>IFERROR(__xludf.DUMMYFUNCTION("IF(OR(AND(C741&lt;&gt;"""", LEN(C741)&lt;3), LEN(C741)&gt;60, AND(D741&lt;&gt;"""", NOT(ISNUMBER(D741))), AND(ISNUMBER(D741), OR(D741&lt;0.01, D741&gt;999999999)), AND(COUNTA(D741:F741, H741:N741)&gt;0, C741=""""),                  
  AND(COUNTA(C741, H741:N741)&gt;0, D741=""""), LEN("&amp;"H741)&gt;50, AND(I741&lt;&gt;"""", NOT(ISNUMBER(I741))), AND(ISNUMBER(I741), OR(I741&lt;0, I741&gt;99998)), AND(L741&lt;&gt;"""", NOT(REGEXMATCH(L741&amp;"""", ""^\d{8,14}$"")))), ""Erro"", """")"),"")</f>
      </c>
    </row>
    <row r="742" ht="15.75" customHeight="true">
      <c r="A742" s="33"/>
      <c r="B742" s="34" t="str">
        <f t="shared" si="1"/>
      </c>
      <c r="C742" s="35"/>
      <c r="D742" s="36"/>
      <c r="E742" s="37"/>
      <c r="F742" s="38"/>
      <c r="G742" s="39" t="str">
        <f t="shared" si="2"/>
      </c>
      <c r="H742" s="40"/>
      <c r="I742" s="41"/>
      <c r="J742" s="41"/>
      <c r="K742" s="41"/>
      <c r="L742" s="42"/>
      <c r="M742" s="43"/>
      <c r="N742" s="44"/>
      <c r="O742" s="45"/>
      <c r="P742" s="46" t="str">
        <f>IFERROR(__xludf.DUMMYFUNCTION("IF(OR(AND(C742&lt;&gt;"""", LEN(C742)&lt;3), LEN(C742)&gt;60, AND(D742&lt;&gt;"""", NOT(ISNUMBER(D742))), AND(ISNUMBER(D742), OR(D742&lt;0.01, D742&gt;999999999)), AND(COUNTA(D742:F742, H742:N742)&gt;0, C742=""""),                  
  AND(COUNTA(C742, H742:N742)&gt;0, D742=""""), LEN("&amp;"H742)&gt;50, AND(I742&lt;&gt;"""", NOT(ISNUMBER(I742))), AND(ISNUMBER(I742), OR(I742&lt;0, I742&gt;99998)), AND(L742&lt;&gt;"""", NOT(REGEXMATCH(L742&amp;"""", ""^\d{8,14}$"")))), ""Erro"", """")"),"")</f>
      </c>
    </row>
    <row r="743" ht="15.75" customHeight="true">
      <c r="A743" s="33"/>
      <c r="B743" s="34" t="str">
        <f t="shared" si="1"/>
      </c>
      <c r="C743" s="35"/>
      <c r="D743" s="36"/>
      <c r="E743" s="37"/>
      <c r="F743" s="38"/>
      <c r="G743" s="39" t="str">
        <f t="shared" si="2"/>
      </c>
      <c r="H743" s="40"/>
      <c r="I743" s="41"/>
      <c r="J743" s="41"/>
      <c r="K743" s="41"/>
      <c r="L743" s="42"/>
      <c r="M743" s="43"/>
      <c r="N743" s="44"/>
      <c r="O743" s="45"/>
      <c r="P743" s="46" t="str">
        <f>IFERROR(__xludf.DUMMYFUNCTION("IF(OR(AND(C743&lt;&gt;"""", LEN(C743)&lt;3), LEN(C743)&gt;60, AND(D743&lt;&gt;"""", NOT(ISNUMBER(D743))), AND(ISNUMBER(D743), OR(D743&lt;0.01, D743&gt;999999999)), AND(COUNTA(D743:F743, H743:N743)&gt;0, C743=""""),                  
  AND(COUNTA(C743, H743:N743)&gt;0, D743=""""), LEN("&amp;"H743)&gt;50, AND(I743&lt;&gt;"""", NOT(ISNUMBER(I743))), AND(ISNUMBER(I743), OR(I743&lt;0, I743&gt;99998)), AND(L743&lt;&gt;"""", NOT(REGEXMATCH(L743&amp;"""", ""^\d{8,14}$"")))), ""Erro"", """")"),"")</f>
      </c>
    </row>
    <row r="744" ht="15.75" customHeight="true">
      <c r="A744" s="33"/>
      <c r="B744" s="34" t="str">
        <f t="shared" si="1"/>
      </c>
      <c r="C744" s="35"/>
      <c r="D744" s="36"/>
      <c r="E744" s="37"/>
      <c r="F744" s="38"/>
      <c r="G744" s="39" t="str">
        <f t="shared" si="2"/>
      </c>
      <c r="H744" s="40"/>
      <c r="I744" s="41"/>
      <c r="J744" s="41"/>
      <c r="K744" s="41"/>
      <c r="L744" s="42"/>
      <c r="M744" s="43"/>
      <c r="N744" s="44"/>
      <c r="O744" s="45"/>
      <c r="P744" s="46" t="str">
        <f>IFERROR(__xludf.DUMMYFUNCTION("IF(OR(AND(C744&lt;&gt;"""", LEN(C744)&lt;3), LEN(C744)&gt;60, AND(D744&lt;&gt;"""", NOT(ISNUMBER(D744))), AND(ISNUMBER(D744), OR(D744&lt;0.01, D744&gt;999999999)), AND(COUNTA(D744:F744, H744:N744)&gt;0, C744=""""),                  
  AND(COUNTA(C744, H744:N744)&gt;0, D744=""""), LEN("&amp;"H744)&gt;50, AND(I744&lt;&gt;"""", NOT(ISNUMBER(I744))), AND(ISNUMBER(I744), OR(I744&lt;0, I744&gt;99998)), AND(L744&lt;&gt;"""", NOT(REGEXMATCH(L744&amp;"""", ""^\d{8,14}$"")))), ""Erro"", """")"),"")</f>
      </c>
    </row>
    <row r="745" ht="15.75" customHeight="true">
      <c r="A745" s="33"/>
      <c r="B745" s="34" t="str">
        <f t="shared" si="1"/>
      </c>
      <c r="C745" s="35"/>
      <c r="D745" s="36"/>
      <c r="E745" s="37"/>
      <c r="F745" s="38"/>
      <c r="G745" s="39" t="str">
        <f t="shared" si="2"/>
      </c>
      <c r="H745" s="40"/>
      <c r="I745" s="41"/>
      <c r="J745" s="41"/>
      <c r="K745" s="41"/>
      <c r="L745" s="42"/>
      <c r="M745" s="43"/>
      <c r="N745" s="44"/>
      <c r="O745" s="45"/>
      <c r="P745" s="46" t="str">
        <f>IFERROR(__xludf.DUMMYFUNCTION("IF(OR(AND(C745&lt;&gt;"""", LEN(C745)&lt;3), LEN(C745)&gt;60, AND(D745&lt;&gt;"""", NOT(ISNUMBER(D745))), AND(ISNUMBER(D745), OR(D745&lt;0.01, D745&gt;999999999)), AND(COUNTA(D745:F745, H745:N745)&gt;0, C745=""""),                  
  AND(COUNTA(C745, H745:N745)&gt;0, D745=""""), LEN("&amp;"H745)&gt;50, AND(I745&lt;&gt;"""", NOT(ISNUMBER(I745))), AND(ISNUMBER(I745), OR(I745&lt;0, I745&gt;99998)), AND(L745&lt;&gt;"""", NOT(REGEXMATCH(L745&amp;"""", ""^\d{8,14}$"")))), ""Erro"", """")"),"")</f>
      </c>
    </row>
    <row r="746" ht="15.75" customHeight="true">
      <c r="A746" s="33"/>
      <c r="B746" s="34" t="str">
        <f t="shared" si="1"/>
      </c>
      <c r="C746" s="35"/>
      <c r="D746" s="36"/>
      <c r="E746" s="37"/>
      <c r="F746" s="38"/>
      <c r="G746" s="39" t="str">
        <f t="shared" si="2"/>
      </c>
      <c r="H746" s="40"/>
      <c r="I746" s="41"/>
      <c r="J746" s="41"/>
      <c r="K746" s="41"/>
      <c r="L746" s="42"/>
      <c r="M746" s="43"/>
      <c r="N746" s="44"/>
      <c r="O746" s="45"/>
      <c r="P746" s="46" t="str">
        <f>IFERROR(__xludf.DUMMYFUNCTION("IF(OR(AND(C746&lt;&gt;"""", LEN(C746)&lt;3), LEN(C746)&gt;60, AND(D746&lt;&gt;"""", NOT(ISNUMBER(D746))), AND(ISNUMBER(D746), OR(D746&lt;0.01, D746&gt;999999999)), AND(COUNTA(D746:F746, H746:N746)&gt;0, C746=""""),                  
  AND(COUNTA(C746, H746:N746)&gt;0, D746=""""), LEN("&amp;"H746)&gt;50, AND(I746&lt;&gt;"""", NOT(ISNUMBER(I746))), AND(ISNUMBER(I746), OR(I746&lt;0, I746&gt;99998)), AND(L746&lt;&gt;"""", NOT(REGEXMATCH(L746&amp;"""", ""^\d{8,14}$"")))), ""Erro"", """")"),"")</f>
      </c>
    </row>
    <row r="747" ht="15.75" customHeight="true">
      <c r="A747" s="33"/>
      <c r="B747" s="34" t="str">
        <f t="shared" si="1"/>
      </c>
      <c r="C747" s="35"/>
      <c r="D747" s="36"/>
      <c r="E747" s="37"/>
      <c r="F747" s="38"/>
      <c r="G747" s="39" t="str">
        <f t="shared" si="2"/>
      </c>
      <c r="H747" s="40"/>
      <c r="I747" s="41"/>
      <c r="J747" s="41"/>
      <c r="K747" s="41"/>
      <c r="L747" s="42"/>
      <c r="M747" s="43"/>
      <c r="N747" s="44"/>
      <c r="O747" s="45"/>
      <c r="P747" s="46" t="str">
        <f>IFERROR(__xludf.DUMMYFUNCTION("IF(OR(AND(C747&lt;&gt;"""", LEN(C747)&lt;3), LEN(C747)&gt;60, AND(D747&lt;&gt;"""", NOT(ISNUMBER(D747))), AND(ISNUMBER(D747), OR(D747&lt;0.01, D747&gt;999999999)), AND(COUNTA(D747:F747, H747:N747)&gt;0, C747=""""),                  
  AND(COUNTA(C747, H747:N747)&gt;0, D747=""""), LEN("&amp;"H747)&gt;50, AND(I747&lt;&gt;"""", NOT(ISNUMBER(I747))), AND(ISNUMBER(I747), OR(I747&lt;0, I747&gt;99998)), AND(L747&lt;&gt;"""", NOT(REGEXMATCH(L747&amp;"""", ""^\d{8,14}$"")))), ""Erro"", """")"),"")</f>
      </c>
    </row>
    <row r="748" ht="15.75" customHeight="true">
      <c r="A748" s="33"/>
      <c r="B748" s="34" t="str">
        <f t="shared" si="1"/>
      </c>
      <c r="C748" s="35"/>
      <c r="D748" s="36"/>
      <c r="E748" s="37"/>
      <c r="F748" s="38"/>
      <c r="G748" s="39" t="str">
        <f t="shared" si="2"/>
      </c>
      <c r="H748" s="40"/>
      <c r="I748" s="41"/>
      <c r="J748" s="41"/>
      <c r="K748" s="41"/>
      <c r="L748" s="42"/>
      <c r="M748" s="43"/>
      <c r="N748" s="44"/>
      <c r="O748" s="45"/>
      <c r="P748" s="46" t="str">
        <f>IFERROR(__xludf.DUMMYFUNCTION("IF(OR(AND(C748&lt;&gt;"""", LEN(C748)&lt;3), LEN(C748)&gt;60, AND(D748&lt;&gt;"""", NOT(ISNUMBER(D748))), AND(ISNUMBER(D748), OR(D748&lt;0.01, D748&gt;999999999)), AND(COUNTA(D748:F748, H748:N748)&gt;0, C748=""""),                  
  AND(COUNTA(C748, H748:N748)&gt;0, D748=""""), LEN("&amp;"H748)&gt;50, AND(I748&lt;&gt;"""", NOT(ISNUMBER(I748))), AND(ISNUMBER(I748), OR(I748&lt;0, I748&gt;99998)), AND(L748&lt;&gt;"""", NOT(REGEXMATCH(L748&amp;"""", ""^\d{8,14}$"")))), ""Erro"", """")"),"")</f>
      </c>
    </row>
    <row r="749" ht="15.75" customHeight="true">
      <c r="A749" s="33"/>
      <c r="B749" s="34" t="str">
        <f t="shared" si="1"/>
      </c>
      <c r="C749" s="35"/>
      <c r="D749" s="36"/>
      <c r="E749" s="37"/>
      <c r="F749" s="38"/>
      <c r="G749" s="39" t="str">
        <f t="shared" si="2"/>
      </c>
      <c r="H749" s="40"/>
      <c r="I749" s="41"/>
      <c r="J749" s="41"/>
      <c r="K749" s="41"/>
      <c r="L749" s="42"/>
      <c r="M749" s="43"/>
      <c r="N749" s="44"/>
      <c r="O749" s="45"/>
      <c r="P749" s="46" t="str">
        <f>IFERROR(__xludf.DUMMYFUNCTION("IF(OR(AND(C749&lt;&gt;"""", LEN(C749)&lt;3), LEN(C749)&gt;60, AND(D749&lt;&gt;"""", NOT(ISNUMBER(D749))), AND(ISNUMBER(D749), OR(D749&lt;0.01, D749&gt;999999999)), AND(COUNTA(D749:F749, H749:N749)&gt;0, C749=""""),                  
  AND(COUNTA(C749, H749:N749)&gt;0, D749=""""), LEN("&amp;"H749)&gt;50, AND(I749&lt;&gt;"""", NOT(ISNUMBER(I749))), AND(ISNUMBER(I749), OR(I749&lt;0, I749&gt;99998)), AND(L749&lt;&gt;"""", NOT(REGEXMATCH(L749&amp;"""", ""^\d{8,14}$"")))), ""Erro"", """")"),"")</f>
      </c>
    </row>
    <row r="750" ht="15.75" customHeight="true">
      <c r="A750" s="33"/>
      <c r="B750" s="34" t="str">
        <f t="shared" si="1"/>
      </c>
      <c r="C750" s="35"/>
      <c r="D750" s="36"/>
      <c r="E750" s="37"/>
      <c r="F750" s="38"/>
      <c r="G750" s="39" t="str">
        <f t="shared" si="2"/>
      </c>
      <c r="H750" s="40"/>
      <c r="I750" s="41"/>
      <c r="J750" s="41"/>
      <c r="K750" s="41"/>
      <c r="L750" s="42"/>
      <c r="M750" s="43"/>
      <c r="N750" s="44"/>
      <c r="O750" s="45"/>
      <c r="P750" s="46" t="str">
        <f>IFERROR(__xludf.DUMMYFUNCTION("IF(OR(AND(C750&lt;&gt;"""", LEN(C750)&lt;3), LEN(C750)&gt;60, AND(D750&lt;&gt;"""", NOT(ISNUMBER(D750))), AND(ISNUMBER(D750), OR(D750&lt;0.01, D750&gt;999999999)), AND(COUNTA(D750:F750, H750:N750)&gt;0, C750=""""),                  
  AND(COUNTA(C750, H750:N750)&gt;0, D750=""""), LEN("&amp;"H750)&gt;50, AND(I750&lt;&gt;"""", NOT(ISNUMBER(I750))), AND(ISNUMBER(I750), OR(I750&lt;0, I750&gt;99998)), AND(L750&lt;&gt;"""", NOT(REGEXMATCH(L750&amp;"""", ""^\d{8,14}$"")))), ""Erro"", """")"),"")</f>
      </c>
    </row>
    <row r="751" ht="15.75" customHeight="true">
      <c r="A751" s="33"/>
      <c r="B751" s="34" t="str">
        <f t="shared" si="1"/>
      </c>
      <c r="C751" s="35"/>
      <c r="D751" s="36"/>
      <c r="E751" s="37"/>
      <c r="F751" s="38"/>
      <c r="G751" s="39" t="str">
        <f t="shared" si="2"/>
      </c>
      <c r="H751" s="40"/>
      <c r="I751" s="41"/>
      <c r="J751" s="41"/>
      <c r="K751" s="41"/>
      <c r="L751" s="42"/>
      <c r="M751" s="43"/>
      <c r="N751" s="44"/>
      <c r="O751" s="45"/>
      <c r="P751" s="46" t="str">
        <f>IFERROR(__xludf.DUMMYFUNCTION("IF(OR(AND(C751&lt;&gt;"""", LEN(C751)&lt;3), LEN(C751)&gt;60, AND(D751&lt;&gt;"""", NOT(ISNUMBER(D751))), AND(ISNUMBER(D751), OR(D751&lt;0.01, D751&gt;999999999)), AND(COUNTA(D751:F751, H751:N751)&gt;0, C751=""""),                  
  AND(COUNTA(C751, H751:N751)&gt;0, D751=""""), LEN("&amp;"H751)&gt;50, AND(I751&lt;&gt;"""", NOT(ISNUMBER(I751))), AND(ISNUMBER(I751), OR(I751&lt;0, I751&gt;99998)), AND(L751&lt;&gt;"""", NOT(REGEXMATCH(L751&amp;"""", ""^\d{8,14}$"")))), ""Erro"", """")"),"")</f>
      </c>
    </row>
    <row r="752" ht="15.75" customHeight="true">
      <c r="A752" s="33"/>
      <c r="B752" s="34" t="str">
        <f t="shared" si="1"/>
      </c>
      <c r="C752" s="35"/>
      <c r="D752" s="36"/>
      <c r="E752" s="37"/>
      <c r="F752" s="38"/>
      <c r="G752" s="39" t="str">
        <f t="shared" si="2"/>
      </c>
      <c r="H752" s="40"/>
      <c r="I752" s="41"/>
      <c r="J752" s="41"/>
      <c r="K752" s="41"/>
      <c r="L752" s="42"/>
      <c r="M752" s="43"/>
      <c r="N752" s="44"/>
      <c r="O752" s="45"/>
      <c r="P752" s="46" t="str">
        <f>IFERROR(__xludf.DUMMYFUNCTION("IF(OR(AND(C752&lt;&gt;"""", LEN(C752)&lt;3), LEN(C752)&gt;60, AND(D752&lt;&gt;"""", NOT(ISNUMBER(D752))), AND(ISNUMBER(D752), OR(D752&lt;0.01, D752&gt;999999999)), AND(COUNTA(D752:F752, H752:N752)&gt;0, C752=""""),                  
  AND(COUNTA(C752, H752:N752)&gt;0, D752=""""), LEN("&amp;"H752)&gt;50, AND(I752&lt;&gt;"""", NOT(ISNUMBER(I752))), AND(ISNUMBER(I752), OR(I752&lt;0, I752&gt;99998)), AND(L752&lt;&gt;"""", NOT(REGEXMATCH(L752&amp;"""", ""^\d{8,14}$"")))), ""Erro"", """")"),"")</f>
      </c>
    </row>
    <row r="753" ht="15.75" customHeight="true">
      <c r="A753" s="33"/>
      <c r="B753" s="34" t="str">
        <f t="shared" si="1"/>
      </c>
      <c r="C753" s="35"/>
      <c r="D753" s="36"/>
      <c r="E753" s="37"/>
      <c r="F753" s="38"/>
      <c r="G753" s="39" t="str">
        <f t="shared" si="2"/>
      </c>
      <c r="H753" s="40"/>
      <c r="I753" s="41"/>
      <c r="J753" s="41"/>
      <c r="K753" s="41"/>
      <c r="L753" s="42"/>
      <c r="M753" s="43"/>
      <c r="N753" s="44"/>
      <c r="O753" s="45"/>
      <c r="P753" s="46" t="str">
        <f>IFERROR(__xludf.DUMMYFUNCTION("IF(OR(AND(C753&lt;&gt;"""", LEN(C753)&lt;3), LEN(C753)&gt;60, AND(D753&lt;&gt;"""", NOT(ISNUMBER(D753))), AND(ISNUMBER(D753), OR(D753&lt;0.01, D753&gt;999999999)), AND(COUNTA(D753:F753, H753:N753)&gt;0, C753=""""),                  
  AND(COUNTA(C753, H753:N753)&gt;0, D753=""""), LEN("&amp;"H753)&gt;50, AND(I753&lt;&gt;"""", NOT(ISNUMBER(I753))), AND(ISNUMBER(I753), OR(I753&lt;0, I753&gt;99998)), AND(L753&lt;&gt;"""", NOT(REGEXMATCH(L753&amp;"""", ""^\d{8,14}$"")))), ""Erro"", """")"),"")</f>
      </c>
    </row>
    <row r="754" ht="15.75" customHeight="true">
      <c r="A754" s="33"/>
      <c r="B754" s="34" t="str">
        <f t="shared" si="1"/>
      </c>
      <c r="C754" s="35"/>
      <c r="D754" s="36"/>
      <c r="E754" s="37"/>
      <c r="F754" s="38"/>
      <c r="G754" s="39" t="str">
        <f t="shared" si="2"/>
      </c>
      <c r="H754" s="40"/>
      <c r="I754" s="41"/>
      <c r="J754" s="41"/>
      <c r="K754" s="41"/>
      <c r="L754" s="42"/>
      <c r="M754" s="43"/>
      <c r="N754" s="44"/>
      <c r="O754" s="45"/>
      <c r="P754" s="46" t="str">
        <f>IFERROR(__xludf.DUMMYFUNCTION("IF(OR(AND(C754&lt;&gt;"""", LEN(C754)&lt;3), LEN(C754)&gt;60, AND(D754&lt;&gt;"""", NOT(ISNUMBER(D754))), AND(ISNUMBER(D754), OR(D754&lt;0.01, D754&gt;999999999)), AND(COUNTA(D754:F754, H754:N754)&gt;0, C754=""""),                  
  AND(COUNTA(C754, H754:N754)&gt;0, D754=""""), LEN("&amp;"H754)&gt;50, AND(I754&lt;&gt;"""", NOT(ISNUMBER(I754))), AND(ISNUMBER(I754), OR(I754&lt;0, I754&gt;99998)), AND(L754&lt;&gt;"""", NOT(REGEXMATCH(L754&amp;"""", ""^\d{8,14}$"")))), ""Erro"", """")"),"")</f>
      </c>
    </row>
    <row r="755" ht="15.75" customHeight="true">
      <c r="A755" s="33"/>
      <c r="B755" s="34" t="str">
        <f t="shared" si="1"/>
      </c>
      <c r="C755" s="35"/>
      <c r="D755" s="36"/>
      <c r="E755" s="37"/>
      <c r="F755" s="38"/>
      <c r="G755" s="39" t="str">
        <f t="shared" si="2"/>
      </c>
      <c r="H755" s="40"/>
      <c r="I755" s="41"/>
      <c r="J755" s="41"/>
      <c r="K755" s="41"/>
      <c r="L755" s="42"/>
      <c r="M755" s="43"/>
      <c r="N755" s="44"/>
      <c r="O755" s="45"/>
      <c r="P755" s="46" t="str">
        <f>IFERROR(__xludf.DUMMYFUNCTION("IF(OR(AND(C755&lt;&gt;"""", LEN(C755)&lt;3), LEN(C755)&gt;60, AND(D755&lt;&gt;"""", NOT(ISNUMBER(D755))), AND(ISNUMBER(D755), OR(D755&lt;0.01, D755&gt;999999999)), AND(COUNTA(D755:F755, H755:N755)&gt;0, C755=""""),                  
  AND(COUNTA(C755, H755:N755)&gt;0, D755=""""), LEN("&amp;"H755)&gt;50, AND(I755&lt;&gt;"""", NOT(ISNUMBER(I755))), AND(ISNUMBER(I755), OR(I755&lt;0, I755&gt;99998)), AND(L755&lt;&gt;"""", NOT(REGEXMATCH(L755&amp;"""", ""^\d{8,14}$"")))), ""Erro"", """")"),"")</f>
      </c>
    </row>
    <row r="756" ht="15.75" customHeight="true">
      <c r="A756" s="33"/>
      <c r="B756" s="34" t="str">
        <f t="shared" si="1"/>
      </c>
      <c r="C756" s="35"/>
      <c r="D756" s="36"/>
      <c r="E756" s="37"/>
      <c r="F756" s="38"/>
      <c r="G756" s="39" t="str">
        <f t="shared" si="2"/>
      </c>
      <c r="H756" s="40"/>
      <c r="I756" s="41"/>
      <c r="J756" s="41"/>
      <c r="K756" s="41"/>
      <c r="L756" s="42"/>
      <c r="M756" s="43"/>
      <c r="N756" s="44"/>
      <c r="O756" s="45"/>
      <c r="P756" s="46" t="str">
        <f>IFERROR(__xludf.DUMMYFUNCTION("IF(OR(AND(C756&lt;&gt;"""", LEN(C756)&lt;3), LEN(C756)&gt;60, AND(D756&lt;&gt;"""", NOT(ISNUMBER(D756))), AND(ISNUMBER(D756), OR(D756&lt;0.01, D756&gt;999999999)), AND(COUNTA(D756:F756, H756:N756)&gt;0, C756=""""),                  
  AND(COUNTA(C756, H756:N756)&gt;0, D756=""""), LEN("&amp;"H756)&gt;50, AND(I756&lt;&gt;"""", NOT(ISNUMBER(I756))), AND(ISNUMBER(I756), OR(I756&lt;0, I756&gt;99998)), AND(L756&lt;&gt;"""", NOT(REGEXMATCH(L756&amp;"""", ""^\d{8,14}$"")))), ""Erro"", """")"),"")</f>
      </c>
    </row>
    <row r="757" ht="15.75" customHeight="true">
      <c r="A757" s="33"/>
      <c r="B757" s="34" t="str">
        <f t="shared" si="1"/>
      </c>
      <c r="C757" s="35"/>
      <c r="D757" s="36"/>
      <c r="E757" s="37"/>
      <c r="F757" s="38"/>
      <c r="G757" s="39" t="str">
        <f t="shared" si="2"/>
      </c>
      <c r="H757" s="40"/>
      <c r="I757" s="41"/>
      <c r="J757" s="41"/>
      <c r="K757" s="41"/>
      <c r="L757" s="42"/>
      <c r="M757" s="43"/>
      <c r="N757" s="44"/>
      <c r="O757" s="45"/>
      <c r="P757" s="46" t="str">
        <f>IFERROR(__xludf.DUMMYFUNCTION("IF(OR(AND(C757&lt;&gt;"""", LEN(C757)&lt;3), LEN(C757)&gt;60, AND(D757&lt;&gt;"""", NOT(ISNUMBER(D757))), AND(ISNUMBER(D757), OR(D757&lt;0.01, D757&gt;999999999)), AND(COUNTA(D757:F757, H757:N757)&gt;0, C757=""""),                  
  AND(COUNTA(C757, H757:N757)&gt;0, D757=""""), LEN("&amp;"H757)&gt;50, AND(I757&lt;&gt;"""", NOT(ISNUMBER(I757))), AND(ISNUMBER(I757), OR(I757&lt;0, I757&gt;99998)), AND(L757&lt;&gt;"""", NOT(REGEXMATCH(L757&amp;"""", ""^\d{8,14}$"")))), ""Erro"", """")"),"")</f>
      </c>
    </row>
    <row r="758" ht="15.75" customHeight="true">
      <c r="A758" s="33"/>
      <c r="B758" s="34" t="str">
        <f t="shared" si="1"/>
      </c>
      <c r="C758" s="35"/>
      <c r="D758" s="36"/>
      <c r="E758" s="37"/>
      <c r="F758" s="38"/>
      <c r="G758" s="39" t="str">
        <f t="shared" si="2"/>
      </c>
      <c r="H758" s="40"/>
      <c r="I758" s="41"/>
      <c r="J758" s="41"/>
      <c r="K758" s="41"/>
      <c r="L758" s="42"/>
      <c r="M758" s="43"/>
      <c r="N758" s="44"/>
      <c r="O758" s="45"/>
      <c r="P758" s="46" t="str">
        <f>IFERROR(__xludf.DUMMYFUNCTION("IF(OR(AND(C758&lt;&gt;"""", LEN(C758)&lt;3), LEN(C758)&gt;60, AND(D758&lt;&gt;"""", NOT(ISNUMBER(D758))), AND(ISNUMBER(D758), OR(D758&lt;0.01, D758&gt;999999999)), AND(COUNTA(D758:F758, H758:N758)&gt;0, C758=""""),                  
  AND(COUNTA(C758, H758:N758)&gt;0, D758=""""), LEN("&amp;"H758)&gt;50, AND(I758&lt;&gt;"""", NOT(ISNUMBER(I758))), AND(ISNUMBER(I758), OR(I758&lt;0, I758&gt;99998)), AND(L758&lt;&gt;"""", NOT(REGEXMATCH(L758&amp;"""", ""^\d{8,14}$"")))), ""Erro"", """")"),"")</f>
      </c>
    </row>
    <row r="759" ht="15.75" customHeight="true">
      <c r="A759" s="33"/>
      <c r="B759" s="34" t="str">
        <f t="shared" si="1"/>
      </c>
      <c r="C759" s="35"/>
      <c r="D759" s="36"/>
      <c r="E759" s="37"/>
      <c r="F759" s="38"/>
      <c r="G759" s="39" t="str">
        <f t="shared" si="2"/>
      </c>
      <c r="H759" s="40"/>
      <c r="I759" s="41"/>
      <c r="J759" s="41"/>
      <c r="K759" s="41"/>
      <c r="L759" s="42"/>
      <c r="M759" s="43"/>
      <c r="N759" s="44"/>
      <c r="O759" s="45"/>
      <c r="P759" s="46" t="str">
        <f>IFERROR(__xludf.DUMMYFUNCTION("IF(OR(AND(C759&lt;&gt;"""", LEN(C759)&lt;3), LEN(C759)&gt;60, AND(D759&lt;&gt;"""", NOT(ISNUMBER(D759))), AND(ISNUMBER(D759), OR(D759&lt;0.01, D759&gt;999999999)), AND(COUNTA(D759:F759, H759:N759)&gt;0, C759=""""),                  
  AND(COUNTA(C759, H759:N759)&gt;0, D759=""""), LEN("&amp;"H759)&gt;50, AND(I759&lt;&gt;"""", NOT(ISNUMBER(I759))), AND(ISNUMBER(I759), OR(I759&lt;0, I759&gt;99998)), AND(L759&lt;&gt;"""", NOT(REGEXMATCH(L759&amp;"""", ""^\d{8,14}$"")))), ""Erro"", """")"),"")</f>
      </c>
    </row>
    <row r="760" ht="15.75" customHeight="true">
      <c r="A760" s="33"/>
      <c r="B760" s="34" t="str">
        <f t="shared" si="1"/>
      </c>
      <c r="C760" s="35"/>
      <c r="D760" s="36"/>
      <c r="E760" s="37"/>
      <c r="F760" s="38"/>
      <c r="G760" s="39" t="str">
        <f t="shared" si="2"/>
      </c>
      <c r="H760" s="40"/>
      <c r="I760" s="41"/>
      <c r="J760" s="41"/>
      <c r="K760" s="41"/>
      <c r="L760" s="42"/>
      <c r="M760" s="43"/>
      <c r="N760" s="44"/>
      <c r="O760" s="45"/>
      <c r="P760" s="46" t="str">
        <f>IFERROR(__xludf.DUMMYFUNCTION("IF(OR(AND(C760&lt;&gt;"""", LEN(C760)&lt;3), LEN(C760)&gt;60, AND(D760&lt;&gt;"""", NOT(ISNUMBER(D760))), AND(ISNUMBER(D760), OR(D760&lt;0.01, D760&gt;999999999)), AND(COUNTA(D760:F760, H760:N760)&gt;0, C760=""""),                  
  AND(COUNTA(C760, H760:N760)&gt;0, D760=""""), LEN("&amp;"H760)&gt;50, AND(I760&lt;&gt;"""", NOT(ISNUMBER(I760))), AND(ISNUMBER(I760), OR(I760&lt;0, I760&gt;99998)), AND(L760&lt;&gt;"""", NOT(REGEXMATCH(L760&amp;"""", ""^\d{8,14}$"")))), ""Erro"", """")"),"")</f>
      </c>
    </row>
    <row r="761" ht="15.75" customHeight="true">
      <c r="A761" s="33"/>
      <c r="B761" s="34" t="str">
        <f t="shared" si="1"/>
      </c>
      <c r="C761" s="35"/>
      <c r="D761" s="36"/>
      <c r="E761" s="37"/>
      <c r="F761" s="38"/>
      <c r="G761" s="39" t="str">
        <f t="shared" si="2"/>
      </c>
      <c r="H761" s="40"/>
      <c r="I761" s="41"/>
      <c r="J761" s="41"/>
      <c r="K761" s="41"/>
      <c r="L761" s="42"/>
      <c r="M761" s="43"/>
      <c r="N761" s="44"/>
      <c r="O761" s="45"/>
      <c r="P761" s="46" t="str">
        <f>IFERROR(__xludf.DUMMYFUNCTION("IF(OR(AND(C761&lt;&gt;"""", LEN(C761)&lt;3), LEN(C761)&gt;60, AND(D761&lt;&gt;"""", NOT(ISNUMBER(D761))), AND(ISNUMBER(D761), OR(D761&lt;0.01, D761&gt;999999999)), AND(COUNTA(D761:F761, H761:N761)&gt;0, C761=""""),                  
  AND(COUNTA(C761, H761:N761)&gt;0, D761=""""), LEN("&amp;"H761)&gt;50, AND(I761&lt;&gt;"""", NOT(ISNUMBER(I761))), AND(ISNUMBER(I761), OR(I761&lt;0, I761&gt;99998)), AND(L761&lt;&gt;"""", NOT(REGEXMATCH(L761&amp;"""", ""^\d{8,14}$"")))), ""Erro"", """")"),"")</f>
      </c>
    </row>
    <row r="762" ht="15.75" customHeight="true">
      <c r="A762" s="33"/>
      <c r="B762" s="34" t="str">
        <f t="shared" si="1"/>
      </c>
      <c r="C762" s="35"/>
      <c r="D762" s="36"/>
      <c r="E762" s="37"/>
      <c r="F762" s="38"/>
      <c r="G762" s="39" t="str">
        <f t="shared" si="2"/>
      </c>
      <c r="H762" s="40"/>
      <c r="I762" s="41"/>
      <c r="J762" s="41"/>
      <c r="K762" s="41"/>
      <c r="L762" s="42"/>
      <c r="M762" s="43"/>
      <c r="N762" s="44"/>
      <c r="O762" s="45"/>
      <c r="P762" s="46" t="str">
        <f>IFERROR(__xludf.DUMMYFUNCTION("IF(OR(AND(C762&lt;&gt;"""", LEN(C762)&lt;3), LEN(C762)&gt;60, AND(D762&lt;&gt;"""", NOT(ISNUMBER(D762))), AND(ISNUMBER(D762), OR(D762&lt;0.01, D762&gt;999999999)), AND(COUNTA(D762:F762, H762:N762)&gt;0, C762=""""),                  
  AND(COUNTA(C762, H762:N762)&gt;0, D762=""""), LEN("&amp;"H762)&gt;50, AND(I762&lt;&gt;"""", NOT(ISNUMBER(I762))), AND(ISNUMBER(I762), OR(I762&lt;0, I762&gt;99998)), AND(L762&lt;&gt;"""", NOT(REGEXMATCH(L762&amp;"""", ""^\d{8,14}$"")))), ""Erro"", """")"),"")</f>
      </c>
    </row>
    <row r="763" ht="15.75" customHeight="true">
      <c r="A763" s="33"/>
      <c r="B763" s="34" t="str">
        <f t="shared" si="1"/>
      </c>
      <c r="C763" s="35"/>
      <c r="D763" s="36"/>
      <c r="E763" s="37"/>
      <c r="F763" s="38"/>
      <c r="G763" s="39" t="str">
        <f t="shared" si="2"/>
      </c>
      <c r="H763" s="40"/>
      <c r="I763" s="41"/>
      <c r="J763" s="41"/>
      <c r="K763" s="41"/>
      <c r="L763" s="42"/>
      <c r="M763" s="43"/>
      <c r="N763" s="44"/>
      <c r="O763" s="45"/>
      <c r="P763" s="46" t="str">
        <f>IFERROR(__xludf.DUMMYFUNCTION("IF(OR(AND(C763&lt;&gt;"""", LEN(C763)&lt;3), LEN(C763)&gt;60, AND(D763&lt;&gt;"""", NOT(ISNUMBER(D763))), AND(ISNUMBER(D763), OR(D763&lt;0.01, D763&gt;999999999)), AND(COUNTA(D763:F763, H763:N763)&gt;0, C763=""""),                  
  AND(COUNTA(C763, H763:N763)&gt;0, D763=""""), LEN("&amp;"H763)&gt;50, AND(I763&lt;&gt;"""", NOT(ISNUMBER(I763))), AND(ISNUMBER(I763), OR(I763&lt;0, I763&gt;99998)), AND(L763&lt;&gt;"""", NOT(REGEXMATCH(L763&amp;"""", ""^\d{8,14}$"")))), ""Erro"", """")"),"")</f>
      </c>
    </row>
    <row r="764" ht="15.75" customHeight="true">
      <c r="A764" s="33"/>
      <c r="B764" s="34" t="str">
        <f t="shared" si="1"/>
      </c>
      <c r="C764" s="35"/>
      <c r="D764" s="36"/>
      <c r="E764" s="37"/>
      <c r="F764" s="38"/>
      <c r="G764" s="39" t="str">
        <f t="shared" si="2"/>
      </c>
      <c r="H764" s="40"/>
      <c r="I764" s="41"/>
      <c r="J764" s="41"/>
      <c r="K764" s="41"/>
      <c r="L764" s="42"/>
      <c r="M764" s="43"/>
      <c r="N764" s="44"/>
      <c r="O764" s="45"/>
      <c r="P764" s="46" t="str">
        <f>IFERROR(__xludf.DUMMYFUNCTION("IF(OR(AND(C764&lt;&gt;"""", LEN(C764)&lt;3), LEN(C764)&gt;60, AND(D764&lt;&gt;"""", NOT(ISNUMBER(D764))), AND(ISNUMBER(D764), OR(D764&lt;0.01, D764&gt;999999999)), AND(COUNTA(D764:F764, H764:N764)&gt;0, C764=""""),                  
  AND(COUNTA(C764, H764:N764)&gt;0, D764=""""), LEN("&amp;"H764)&gt;50, AND(I764&lt;&gt;"""", NOT(ISNUMBER(I764))), AND(ISNUMBER(I764), OR(I764&lt;0, I764&gt;99998)), AND(L764&lt;&gt;"""", NOT(REGEXMATCH(L764&amp;"""", ""^\d{8,14}$"")))), ""Erro"", """")"),"")</f>
      </c>
    </row>
    <row r="765" ht="15.75" customHeight="true">
      <c r="A765" s="33"/>
      <c r="B765" s="34" t="str">
        <f t="shared" si="1"/>
      </c>
      <c r="C765" s="35"/>
      <c r="D765" s="36"/>
      <c r="E765" s="37"/>
      <c r="F765" s="38"/>
      <c r="G765" s="39" t="str">
        <f t="shared" si="2"/>
      </c>
      <c r="H765" s="40"/>
      <c r="I765" s="41"/>
      <c r="J765" s="41"/>
      <c r="K765" s="41"/>
      <c r="L765" s="42"/>
      <c r="M765" s="43"/>
      <c r="N765" s="44"/>
      <c r="O765" s="45"/>
      <c r="P765" s="46" t="str">
        <f>IFERROR(__xludf.DUMMYFUNCTION("IF(OR(AND(C765&lt;&gt;"""", LEN(C765)&lt;3), LEN(C765)&gt;60, AND(D765&lt;&gt;"""", NOT(ISNUMBER(D765))), AND(ISNUMBER(D765), OR(D765&lt;0.01, D765&gt;999999999)), AND(COUNTA(D765:F765, H765:N765)&gt;0, C765=""""),                  
  AND(COUNTA(C765, H765:N765)&gt;0, D765=""""), LEN("&amp;"H765)&gt;50, AND(I765&lt;&gt;"""", NOT(ISNUMBER(I765))), AND(ISNUMBER(I765), OR(I765&lt;0, I765&gt;99998)), AND(L765&lt;&gt;"""", NOT(REGEXMATCH(L765&amp;"""", ""^\d{8,14}$"")))), ""Erro"", """")"),"")</f>
      </c>
    </row>
    <row r="766" ht="15.75" customHeight="true">
      <c r="A766" s="33"/>
      <c r="B766" s="34" t="str">
        <f t="shared" si="1"/>
      </c>
      <c r="C766" s="35"/>
      <c r="D766" s="36"/>
      <c r="E766" s="37"/>
      <c r="F766" s="38"/>
      <c r="G766" s="39" t="str">
        <f t="shared" si="2"/>
      </c>
      <c r="H766" s="40"/>
      <c r="I766" s="41"/>
      <c r="J766" s="41"/>
      <c r="K766" s="41"/>
      <c r="L766" s="42"/>
      <c r="M766" s="43"/>
      <c r="N766" s="44"/>
      <c r="O766" s="45"/>
      <c r="P766" s="46" t="str">
        <f>IFERROR(__xludf.DUMMYFUNCTION("IF(OR(AND(C766&lt;&gt;"""", LEN(C766)&lt;3), LEN(C766)&gt;60, AND(D766&lt;&gt;"""", NOT(ISNUMBER(D766))), AND(ISNUMBER(D766), OR(D766&lt;0.01, D766&gt;999999999)), AND(COUNTA(D766:F766, H766:N766)&gt;0, C766=""""),                  
  AND(COUNTA(C766, H766:N766)&gt;0, D766=""""), LEN("&amp;"H766)&gt;50, AND(I766&lt;&gt;"""", NOT(ISNUMBER(I766))), AND(ISNUMBER(I766), OR(I766&lt;0, I766&gt;99998)), AND(L766&lt;&gt;"""", NOT(REGEXMATCH(L766&amp;"""", ""^\d{8,14}$"")))), ""Erro"", """")"),"")</f>
      </c>
    </row>
    <row r="767" ht="15.75" customHeight="true">
      <c r="A767" s="33"/>
      <c r="B767" s="34" t="str">
        <f t="shared" si="1"/>
      </c>
      <c r="C767" s="35"/>
      <c r="D767" s="36"/>
      <c r="E767" s="37"/>
      <c r="F767" s="38"/>
      <c r="G767" s="39" t="str">
        <f t="shared" si="2"/>
      </c>
      <c r="H767" s="40"/>
      <c r="I767" s="41"/>
      <c r="J767" s="41"/>
      <c r="K767" s="41"/>
      <c r="L767" s="42"/>
      <c r="M767" s="43"/>
      <c r="N767" s="44"/>
      <c r="O767" s="45"/>
      <c r="P767" s="46" t="str">
        <f>IFERROR(__xludf.DUMMYFUNCTION("IF(OR(AND(C767&lt;&gt;"""", LEN(C767)&lt;3), LEN(C767)&gt;60, AND(D767&lt;&gt;"""", NOT(ISNUMBER(D767))), AND(ISNUMBER(D767), OR(D767&lt;0.01, D767&gt;999999999)), AND(COUNTA(D767:F767, H767:N767)&gt;0, C767=""""),                  
  AND(COUNTA(C767, H767:N767)&gt;0, D767=""""), LEN("&amp;"H767)&gt;50, AND(I767&lt;&gt;"""", NOT(ISNUMBER(I767))), AND(ISNUMBER(I767), OR(I767&lt;0, I767&gt;99998)), AND(L767&lt;&gt;"""", NOT(REGEXMATCH(L767&amp;"""", ""^\d{8,14}$"")))), ""Erro"", """")"),"")</f>
      </c>
    </row>
    <row r="768" ht="15.75" customHeight="true">
      <c r="A768" s="33"/>
      <c r="B768" s="34" t="str">
        <f t="shared" si="1"/>
      </c>
      <c r="C768" s="35"/>
      <c r="D768" s="36"/>
      <c r="E768" s="37"/>
      <c r="F768" s="38"/>
      <c r="G768" s="39" t="str">
        <f t="shared" si="2"/>
      </c>
      <c r="H768" s="40"/>
      <c r="I768" s="41"/>
      <c r="J768" s="41"/>
      <c r="K768" s="41"/>
      <c r="L768" s="42"/>
      <c r="M768" s="43"/>
      <c r="N768" s="44"/>
      <c r="O768" s="45"/>
      <c r="P768" s="46" t="str">
        <f>IFERROR(__xludf.DUMMYFUNCTION("IF(OR(AND(C768&lt;&gt;"""", LEN(C768)&lt;3), LEN(C768)&gt;60, AND(D768&lt;&gt;"""", NOT(ISNUMBER(D768))), AND(ISNUMBER(D768), OR(D768&lt;0.01, D768&gt;999999999)), AND(COUNTA(D768:F768, H768:N768)&gt;0, C768=""""),                  
  AND(COUNTA(C768, H768:N768)&gt;0, D768=""""), LEN("&amp;"H768)&gt;50, AND(I768&lt;&gt;"""", NOT(ISNUMBER(I768))), AND(ISNUMBER(I768), OR(I768&lt;0, I768&gt;99998)), AND(L768&lt;&gt;"""", NOT(REGEXMATCH(L768&amp;"""", ""^\d{8,14}$"")))), ""Erro"", """")"),"")</f>
      </c>
    </row>
    <row r="769" ht="15.75" customHeight="true">
      <c r="A769" s="33"/>
      <c r="B769" s="34" t="str">
        <f t="shared" si="1"/>
      </c>
      <c r="C769" s="35"/>
      <c r="D769" s="36"/>
      <c r="E769" s="37"/>
      <c r="F769" s="38"/>
      <c r="G769" s="39" t="str">
        <f t="shared" si="2"/>
      </c>
      <c r="H769" s="40"/>
      <c r="I769" s="41"/>
      <c r="J769" s="41"/>
      <c r="K769" s="41"/>
      <c r="L769" s="42"/>
      <c r="M769" s="43"/>
      <c r="N769" s="44"/>
      <c r="O769" s="45"/>
      <c r="P769" s="46" t="str">
        <f>IFERROR(__xludf.DUMMYFUNCTION("IF(OR(AND(C769&lt;&gt;"""", LEN(C769)&lt;3), LEN(C769)&gt;60, AND(D769&lt;&gt;"""", NOT(ISNUMBER(D769))), AND(ISNUMBER(D769), OR(D769&lt;0.01, D769&gt;999999999)), AND(COUNTA(D769:F769, H769:N769)&gt;0, C769=""""),                  
  AND(COUNTA(C769, H769:N769)&gt;0, D769=""""), LEN("&amp;"H769)&gt;50, AND(I769&lt;&gt;"""", NOT(ISNUMBER(I769))), AND(ISNUMBER(I769), OR(I769&lt;0, I769&gt;99998)), AND(L769&lt;&gt;"""", NOT(REGEXMATCH(L769&amp;"""", ""^\d{8,14}$"")))), ""Erro"", """")"),"")</f>
      </c>
    </row>
    <row r="770" ht="15.75" customHeight="true">
      <c r="A770" s="33"/>
      <c r="B770" s="34" t="str">
        <f t="shared" si="1"/>
      </c>
      <c r="C770" s="35"/>
      <c r="D770" s="36"/>
      <c r="E770" s="37"/>
      <c r="F770" s="38"/>
      <c r="G770" s="39" t="str">
        <f t="shared" si="2"/>
      </c>
      <c r="H770" s="40"/>
      <c r="I770" s="41"/>
      <c r="J770" s="41"/>
      <c r="K770" s="41"/>
      <c r="L770" s="42"/>
      <c r="M770" s="43"/>
      <c r="N770" s="44"/>
      <c r="O770" s="45"/>
      <c r="P770" s="46" t="str">
        <f>IFERROR(__xludf.DUMMYFUNCTION("IF(OR(AND(C770&lt;&gt;"""", LEN(C770)&lt;3), LEN(C770)&gt;60, AND(D770&lt;&gt;"""", NOT(ISNUMBER(D770))), AND(ISNUMBER(D770), OR(D770&lt;0.01, D770&gt;999999999)), AND(COUNTA(D770:F770, H770:N770)&gt;0, C770=""""),                  
  AND(COUNTA(C770, H770:N770)&gt;0, D770=""""), LEN("&amp;"H770)&gt;50, AND(I770&lt;&gt;"""", NOT(ISNUMBER(I770))), AND(ISNUMBER(I770), OR(I770&lt;0, I770&gt;99998)), AND(L770&lt;&gt;"""", NOT(REGEXMATCH(L770&amp;"""", ""^\d{8,14}$"")))), ""Erro"", """")"),"")</f>
      </c>
    </row>
    <row r="771" ht="15.75" customHeight="true">
      <c r="A771" s="33"/>
      <c r="B771" s="34" t="str">
        <f t="shared" si="1"/>
      </c>
      <c r="C771" s="35"/>
      <c r="D771" s="36"/>
      <c r="E771" s="37"/>
      <c r="F771" s="38"/>
      <c r="G771" s="39" t="str">
        <f t="shared" si="2"/>
      </c>
      <c r="H771" s="40"/>
      <c r="I771" s="41"/>
      <c r="J771" s="41"/>
      <c r="K771" s="41"/>
      <c r="L771" s="42"/>
      <c r="M771" s="43"/>
      <c r="N771" s="44"/>
      <c r="O771" s="45"/>
      <c r="P771" s="46" t="str">
        <f>IFERROR(__xludf.DUMMYFUNCTION("IF(OR(AND(C771&lt;&gt;"""", LEN(C771)&lt;3), LEN(C771)&gt;60, AND(D771&lt;&gt;"""", NOT(ISNUMBER(D771))), AND(ISNUMBER(D771), OR(D771&lt;0.01, D771&gt;999999999)), AND(COUNTA(D771:F771, H771:N771)&gt;0, C771=""""),                  
  AND(COUNTA(C771, H771:N771)&gt;0, D771=""""), LEN("&amp;"H771)&gt;50, AND(I771&lt;&gt;"""", NOT(ISNUMBER(I771))), AND(ISNUMBER(I771), OR(I771&lt;0, I771&gt;99998)), AND(L771&lt;&gt;"""", NOT(REGEXMATCH(L771&amp;"""", ""^\d{8,14}$"")))), ""Erro"", """")"),"")</f>
      </c>
    </row>
    <row r="772" ht="15.75" customHeight="true">
      <c r="A772" s="33"/>
      <c r="B772" s="34" t="str">
        <f t="shared" si="1"/>
      </c>
      <c r="C772" s="35"/>
      <c r="D772" s="36"/>
      <c r="E772" s="37"/>
      <c r="F772" s="38"/>
      <c r="G772" s="39" t="str">
        <f t="shared" si="2"/>
      </c>
      <c r="H772" s="40"/>
      <c r="I772" s="41"/>
      <c r="J772" s="41"/>
      <c r="K772" s="41"/>
      <c r="L772" s="42"/>
      <c r="M772" s="43"/>
      <c r="N772" s="44"/>
      <c r="O772" s="45"/>
      <c r="P772" s="46" t="str">
        <f>IFERROR(__xludf.DUMMYFUNCTION("IF(OR(AND(C772&lt;&gt;"""", LEN(C772)&lt;3), LEN(C772)&gt;60, AND(D772&lt;&gt;"""", NOT(ISNUMBER(D772))), AND(ISNUMBER(D772), OR(D772&lt;0.01, D772&gt;999999999)), AND(COUNTA(D772:F772, H772:N772)&gt;0, C772=""""),                  
  AND(COUNTA(C772, H772:N772)&gt;0, D772=""""), LEN("&amp;"H772)&gt;50, AND(I772&lt;&gt;"""", NOT(ISNUMBER(I772))), AND(ISNUMBER(I772), OR(I772&lt;0, I772&gt;99998)), AND(L772&lt;&gt;"""", NOT(REGEXMATCH(L772&amp;"""", ""^\d{8,14}$"")))), ""Erro"", """")"),"")</f>
      </c>
    </row>
    <row r="773" ht="15.75" customHeight="true">
      <c r="A773" s="33"/>
      <c r="B773" s="34" t="str">
        <f t="shared" si="1"/>
      </c>
      <c r="C773" s="35"/>
      <c r="D773" s="36"/>
      <c r="E773" s="37"/>
      <c r="F773" s="38"/>
      <c r="G773" s="39" t="str">
        <f t="shared" si="2"/>
      </c>
      <c r="H773" s="40"/>
      <c r="I773" s="41"/>
      <c r="J773" s="41"/>
      <c r="K773" s="41"/>
      <c r="L773" s="42"/>
      <c r="M773" s="43"/>
      <c r="N773" s="44"/>
      <c r="O773" s="45"/>
      <c r="P773" s="46" t="str">
        <f>IFERROR(__xludf.DUMMYFUNCTION("IF(OR(AND(C773&lt;&gt;"""", LEN(C773)&lt;3), LEN(C773)&gt;60, AND(D773&lt;&gt;"""", NOT(ISNUMBER(D773))), AND(ISNUMBER(D773), OR(D773&lt;0.01, D773&gt;999999999)), AND(COUNTA(D773:F773, H773:N773)&gt;0, C773=""""),                  
  AND(COUNTA(C773, H773:N773)&gt;0, D773=""""), LEN("&amp;"H773)&gt;50, AND(I773&lt;&gt;"""", NOT(ISNUMBER(I773))), AND(ISNUMBER(I773), OR(I773&lt;0, I773&gt;99998)), AND(L773&lt;&gt;"""", NOT(REGEXMATCH(L773&amp;"""", ""^\d{8,14}$"")))), ""Erro"", """")"),"")</f>
      </c>
    </row>
    <row r="774" ht="15.75" customHeight="true">
      <c r="A774" s="33"/>
      <c r="B774" s="34" t="str">
        <f t="shared" si="1"/>
      </c>
      <c r="C774" s="35"/>
      <c r="D774" s="36"/>
      <c r="E774" s="37"/>
      <c r="F774" s="38"/>
      <c r="G774" s="39" t="str">
        <f t="shared" si="2"/>
      </c>
      <c r="H774" s="40"/>
      <c r="I774" s="41"/>
      <c r="J774" s="41"/>
      <c r="K774" s="41"/>
      <c r="L774" s="42"/>
      <c r="M774" s="43"/>
      <c r="N774" s="44"/>
      <c r="O774" s="45"/>
      <c r="P774" s="46" t="str">
        <f>IFERROR(__xludf.DUMMYFUNCTION("IF(OR(AND(C774&lt;&gt;"""", LEN(C774)&lt;3), LEN(C774)&gt;60, AND(D774&lt;&gt;"""", NOT(ISNUMBER(D774))), AND(ISNUMBER(D774), OR(D774&lt;0.01, D774&gt;999999999)), AND(COUNTA(D774:F774, H774:N774)&gt;0, C774=""""),                  
  AND(COUNTA(C774, H774:N774)&gt;0, D774=""""), LEN("&amp;"H774)&gt;50, AND(I774&lt;&gt;"""", NOT(ISNUMBER(I774))), AND(ISNUMBER(I774), OR(I774&lt;0, I774&gt;99998)), AND(L774&lt;&gt;"""", NOT(REGEXMATCH(L774&amp;"""", ""^\d{8,14}$"")))), ""Erro"", """")"),"")</f>
      </c>
    </row>
    <row r="775" ht="15.75" customHeight="true">
      <c r="A775" s="33"/>
      <c r="B775" s="34" t="str">
        <f t="shared" si="1"/>
      </c>
      <c r="C775" s="35"/>
      <c r="D775" s="36"/>
      <c r="E775" s="37"/>
      <c r="F775" s="38"/>
      <c r="G775" s="39" t="str">
        <f t="shared" si="2"/>
      </c>
      <c r="H775" s="40"/>
      <c r="I775" s="41"/>
      <c r="J775" s="41"/>
      <c r="K775" s="41"/>
      <c r="L775" s="42"/>
      <c r="M775" s="43"/>
      <c r="N775" s="44"/>
      <c r="O775" s="45"/>
      <c r="P775" s="46" t="str">
        <f>IFERROR(__xludf.DUMMYFUNCTION("IF(OR(AND(C775&lt;&gt;"""", LEN(C775)&lt;3), LEN(C775)&gt;60, AND(D775&lt;&gt;"""", NOT(ISNUMBER(D775))), AND(ISNUMBER(D775), OR(D775&lt;0.01, D775&gt;999999999)), AND(COUNTA(D775:F775, H775:N775)&gt;0, C775=""""),                  
  AND(COUNTA(C775, H775:N775)&gt;0, D775=""""), LEN("&amp;"H775)&gt;50, AND(I775&lt;&gt;"""", NOT(ISNUMBER(I775))), AND(ISNUMBER(I775), OR(I775&lt;0, I775&gt;99998)), AND(L775&lt;&gt;"""", NOT(REGEXMATCH(L775&amp;"""", ""^\d{8,14}$"")))), ""Erro"", """")"),"")</f>
      </c>
    </row>
    <row r="776" ht="15.75" customHeight="true">
      <c r="A776" s="33"/>
      <c r="B776" s="34" t="str">
        <f t="shared" si="1"/>
      </c>
      <c r="C776" s="35"/>
      <c r="D776" s="36"/>
      <c r="E776" s="37"/>
      <c r="F776" s="38"/>
      <c r="G776" s="39" t="str">
        <f t="shared" si="2"/>
      </c>
      <c r="H776" s="40"/>
      <c r="I776" s="41"/>
      <c r="J776" s="41"/>
      <c r="K776" s="41"/>
      <c r="L776" s="42"/>
      <c r="M776" s="43"/>
      <c r="N776" s="44"/>
      <c r="O776" s="45"/>
      <c r="P776" s="46" t="str">
        <f>IFERROR(__xludf.DUMMYFUNCTION("IF(OR(AND(C776&lt;&gt;"""", LEN(C776)&lt;3), LEN(C776)&gt;60, AND(D776&lt;&gt;"""", NOT(ISNUMBER(D776))), AND(ISNUMBER(D776), OR(D776&lt;0.01, D776&gt;999999999)), AND(COUNTA(D776:F776, H776:N776)&gt;0, C776=""""),                  
  AND(COUNTA(C776, H776:N776)&gt;0, D776=""""), LEN("&amp;"H776)&gt;50, AND(I776&lt;&gt;"""", NOT(ISNUMBER(I776))), AND(ISNUMBER(I776), OR(I776&lt;0, I776&gt;99998)), AND(L776&lt;&gt;"""", NOT(REGEXMATCH(L776&amp;"""", ""^\d{8,14}$"")))), ""Erro"", """")"),"")</f>
      </c>
    </row>
    <row r="777" ht="15.75" customHeight="true">
      <c r="A777" s="33"/>
      <c r="B777" s="34" t="str">
        <f t="shared" si="1"/>
      </c>
      <c r="C777" s="35"/>
      <c r="D777" s="36"/>
      <c r="E777" s="37"/>
      <c r="F777" s="38"/>
      <c r="G777" s="39" t="str">
        <f t="shared" si="2"/>
      </c>
      <c r="H777" s="40"/>
      <c r="I777" s="41"/>
      <c r="J777" s="41"/>
      <c r="K777" s="41"/>
      <c r="L777" s="42"/>
      <c r="M777" s="43"/>
      <c r="N777" s="44"/>
      <c r="O777" s="45"/>
      <c r="P777" s="46" t="str">
        <f>IFERROR(__xludf.DUMMYFUNCTION("IF(OR(AND(C777&lt;&gt;"""", LEN(C777)&lt;3), LEN(C777)&gt;60, AND(D777&lt;&gt;"""", NOT(ISNUMBER(D777))), AND(ISNUMBER(D777), OR(D777&lt;0.01, D777&gt;999999999)), AND(COUNTA(D777:F777, H777:N777)&gt;0, C777=""""),                  
  AND(COUNTA(C777, H777:N777)&gt;0, D777=""""), LEN("&amp;"H777)&gt;50, AND(I777&lt;&gt;"""", NOT(ISNUMBER(I777))), AND(ISNUMBER(I777), OR(I777&lt;0, I777&gt;99998)), AND(L777&lt;&gt;"""", NOT(REGEXMATCH(L777&amp;"""", ""^\d{8,14}$"")))), ""Erro"", """")"),"")</f>
      </c>
    </row>
    <row r="778" ht="15.75" customHeight="true">
      <c r="A778" s="33"/>
      <c r="B778" s="34" t="str">
        <f t="shared" si="1"/>
      </c>
      <c r="C778" s="35"/>
      <c r="D778" s="36"/>
      <c r="E778" s="37"/>
      <c r="F778" s="38"/>
      <c r="G778" s="39" t="str">
        <f t="shared" si="2"/>
      </c>
      <c r="H778" s="40"/>
      <c r="I778" s="41"/>
      <c r="J778" s="41"/>
      <c r="K778" s="41"/>
      <c r="L778" s="42"/>
      <c r="M778" s="43"/>
      <c r="N778" s="44"/>
      <c r="O778" s="45"/>
      <c r="P778" s="46" t="str">
        <f>IFERROR(__xludf.DUMMYFUNCTION("IF(OR(AND(C778&lt;&gt;"""", LEN(C778)&lt;3), LEN(C778)&gt;60, AND(D778&lt;&gt;"""", NOT(ISNUMBER(D778))), AND(ISNUMBER(D778), OR(D778&lt;0.01, D778&gt;999999999)), AND(COUNTA(D778:F778, H778:N778)&gt;0, C778=""""),                  
  AND(COUNTA(C778, H778:N778)&gt;0, D778=""""), LEN("&amp;"H778)&gt;50, AND(I778&lt;&gt;"""", NOT(ISNUMBER(I778))), AND(ISNUMBER(I778), OR(I778&lt;0, I778&gt;99998)), AND(L778&lt;&gt;"""", NOT(REGEXMATCH(L778&amp;"""", ""^\d{8,14}$"")))), ""Erro"", """")"),"")</f>
      </c>
    </row>
    <row r="779" ht="15.75" customHeight="true">
      <c r="A779" s="33"/>
      <c r="B779" s="34" t="str">
        <f t="shared" si="1"/>
      </c>
      <c r="C779" s="35"/>
      <c r="D779" s="36"/>
      <c r="E779" s="37"/>
      <c r="F779" s="38"/>
      <c r="G779" s="39" t="str">
        <f t="shared" si="2"/>
      </c>
      <c r="H779" s="40"/>
      <c r="I779" s="41"/>
      <c r="J779" s="41"/>
      <c r="K779" s="41"/>
      <c r="L779" s="42"/>
      <c r="M779" s="43"/>
      <c r="N779" s="44"/>
      <c r="O779" s="45"/>
      <c r="P779" s="46" t="str">
        <f>IFERROR(__xludf.DUMMYFUNCTION("IF(OR(AND(C779&lt;&gt;"""", LEN(C779)&lt;3), LEN(C779)&gt;60, AND(D779&lt;&gt;"""", NOT(ISNUMBER(D779))), AND(ISNUMBER(D779), OR(D779&lt;0.01, D779&gt;999999999)), AND(COUNTA(D779:F779, H779:N779)&gt;0, C779=""""),                  
  AND(COUNTA(C779, H779:N779)&gt;0, D779=""""), LEN("&amp;"H779)&gt;50, AND(I779&lt;&gt;"""", NOT(ISNUMBER(I779))), AND(ISNUMBER(I779), OR(I779&lt;0, I779&gt;99998)), AND(L779&lt;&gt;"""", NOT(REGEXMATCH(L779&amp;"""", ""^\d{8,14}$"")))), ""Erro"", """")"),"")</f>
      </c>
    </row>
    <row r="780" ht="15.75" customHeight="true">
      <c r="A780" s="33"/>
      <c r="B780" s="34" t="str">
        <f t="shared" si="1"/>
      </c>
      <c r="C780" s="35"/>
      <c r="D780" s="36"/>
      <c r="E780" s="37"/>
      <c r="F780" s="38"/>
      <c r="G780" s="39" t="str">
        <f t="shared" si="2"/>
      </c>
      <c r="H780" s="40"/>
      <c r="I780" s="41"/>
      <c r="J780" s="41"/>
      <c r="K780" s="41"/>
      <c r="L780" s="42"/>
      <c r="M780" s="43"/>
      <c r="N780" s="44"/>
      <c r="O780" s="45"/>
      <c r="P780" s="46" t="str">
        <f>IFERROR(__xludf.DUMMYFUNCTION("IF(OR(AND(C780&lt;&gt;"""", LEN(C780)&lt;3), LEN(C780)&gt;60, AND(D780&lt;&gt;"""", NOT(ISNUMBER(D780))), AND(ISNUMBER(D780), OR(D780&lt;0.01, D780&gt;999999999)), AND(COUNTA(D780:F780, H780:N780)&gt;0, C780=""""),                  
  AND(COUNTA(C780, H780:N780)&gt;0, D780=""""), LEN("&amp;"H780)&gt;50, AND(I780&lt;&gt;"""", NOT(ISNUMBER(I780))), AND(ISNUMBER(I780), OR(I780&lt;0, I780&gt;99998)), AND(L780&lt;&gt;"""", NOT(REGEXMATCH(L780&amp;"""", ""^\d{8,14}$"")))), ""Erro"", """")"),"")</f>
      </c>
    </row>
    <row r="781" ht="15.75" customHeight="true">
      <c r="A781" s="33"/>
      <c r="B781" s="34" t="str">
        <f t="shared" si="1"/>
      </c>
      <c r="C781" s="35"/>
      <c r="D781" s="36"/>
      <c r="E781" s="37"/>
      <c r="F781" s="38"/>
      <c r="G781" s="39" t="str">
        <f t="shared" si="2"/>
      </c>
      <c r="H781" s="40"/>
      <c r="I781" s="41"/>
      <c r="J781" s="41"/>
      <c r="K781" s="41"/>
      <c r="L781" s="42"/>
      <c r="M781" s="43"/>
      <c r="N781" s="44"/>
      <c r="O781" s="45"/>
      <c r="P781" s="46" t="str">
        <f>IFERROR(__xludf.DUMMYFUNCTION("IF(OR(AND(C781&lt;&gt;"""", LEN(C781)&lt;3), LEN(C781)&gt;60, AND(D781&lt;&gt;"""", NOT(ISNUMBER(D781))), AND(ISNUMBER(D781), OR(D781&lt;0.01, D781&gt;999999999)), AND(COUNTA(D781:F781, H781:N781)&gt;0, C781=""""),                  
  AND(COUNTA(C781, H781:N781)&gt;0, D781=""""), LEN("&amp;"H781)&gt;50, AND(I781&lt;&gt;"""", NOT(ISNUMBER(I781))), AND(ISNUMBER(I781), OR(I781&lt;0, I781&gt;99998)), AND(L781&lt;&gt;"""", NOT(REGEXMATCH(L781&amp;"""", ""^\d{8,14}$"")))), ""Erro"", """")"),"")</f>
      </c>
    </row>
    <row r="782" ht="15.75" customHeight="true">
      <c r="A782" s="33"/>
      <c r="B782" s="34" t="str">
        <f t="shared" si="1"/>
      </c>
      <c r="C782" s="35"/>
      <c r="D782" s="36"/>
      <c r="E782" s="37"/>
      <c r="F782" s="38"/>
      <c r="G782" s="39" t="str">
        <f t="shared" si="2"/>
      </c>
      <c r="H782" s="40"/>
      <c r="I782" s="41"/>
      <c r="J782" s="41"/>
      <c r="K782" s="41"/>
      <c r="L782" s="42"/>
      <c r="M782" s="43"/>
      <c r="N782" s="44"/>
      <c r="O782" s="45"/>
      <c r="P782" s="46" t="str">
        <f>IFERROR(__xludf.DUMMYFUNCTION("IF(OR(AND(C782&lt;&gt;"""", LEN(C782)&lt;3), LEN(C782)&gt;60, AND(D782&lt;&gt;"""", NOT(ISNUMBER(D782))), AND(ISNUMBER(D782), OR(D782&lt;0.01, D782&gt;999999999)), AND(COUNTA(D782:F782, H782:N782)&gt;0, C782=""""),                  
  AND(COUNTA(C782, H782:N782)&gt;0, D782=""""), LEN("&amp;"H782)&gt;50, AND(I782&lt;&gt;"""", NOT(ISNUMBER(I782))), AND(ISNUMBER(I782), OR(I782&lt;0, I782&gt;99998)), AND(L782&lt;&gt;"""", NOT(REGEXMATCH(L782&amp;"""", ""^\d{8,14}$"")))), ""Erro"", """")"),"")</f>
      </c>
    </row>
    <row r="783" ht="15.75" customHeight="true">
      <c r="A783" s="33"/>
      <c r="B783" s="34" t="str">
        <f t="shared" si="1"/>
      </c>
      <c r="C783" s="35"/>
      <c r="D783" s="36"/>
      <c r="E783" s="37"/>
      <c r="F783" s="38"/>
      <c r="G783" s="39" t="str">
        <f t="shared" si="2"/>
      </c>
      <c r="H783" s="40"/>
      <c r="I783" s="41"/>
      <c r="J783" s="41"/>
      <c r="K783" s="41"/>
      <c r="L783" s="42"/>
      <c r="M783" s="43"/>
      <c r="N783" s="44"/>
      <c r="O783" s="45"/>
      <c r="P783" s="46" t="str">
        <f>IFERROR(__xludf.DUMMYFUNCTION("IF(OR(AND(C783&lt;&gt;"""", LEN(C783)&lt;3), LEN(C783)&gt;60, AND(D783&lt;&gt;"""", NOT(ISNUMBER(D783))), AND(ISNUMBER(D783), OR(D783&lt;0.01, D783&gt;999999999)), AND(COUNTA(D783:F783, H783:N783)&gt;0, C783=""""),                  
  AND(COUNTA(C783, H783:N783)&gt;0, D783=""""), LEN("&amp;"H783)&gt;50, AND(I783&lt;&gt;"""", NOT(ISNUMBER(I783))), AND(ISNUMBER(I783), OR(I783&lt;0, I783&gt;99998)), AND(L783&lt;&gt;"""", NOT(REGEXMATCH(L783&amp;"""", ""^\d{8,14}$"")))), ""Erro"", """")"),"")</f>
      </c>
    </row>
    <row r="784" ht="15.75" customHeight="true">
      <c r="A784" s="33"/>
      <c r="B784" s="34" t="str">
        <f t="shared" si="1"/>
      </c>
      <c r="C784" s="35"/>
      <c r="D784" s="36"/>
      <c r="E784" s="37"/>
      <c r="F784" s="38"/>
      <c r="G784" s="39" t="str">
        <f t="shared" si="2"/>
      </c>
      <c r="H784" s="40"/>
      <c r="I784" s="41"/>
      <c r="J784" s="41"/>
      <c r="K784" s="41"/>
      <c r="L784" s="42"/>
      <c r="M784" s="43"/>
      <c r="N784" s="44"/>
      <c r="O784" s="45"/>
      <c r="P784" s="46" t="str">
        <f>IFERROR(__xludf.DUMMYFUNCTION("IF(OR(AND(C784&lt;&gt;"""", LEN(C784)&lt;3), LEN(C784)&gt;60, AND(D784&lt;&gt;"""", NOT(ISNUMBER(D784))), AND(ISNUMBER(D784), OR(D784&lt;0.01, D784&gt;999999999)), AND(COUNTA(D784:F784, H784:N784)&gt;0, C784=""""),                  
  AND(COUNTA(C784, H784:N784)&gt;0, D784=""""), LEN("&amp;"H784)&gt;50, AND(I784&lt;&gt;"""", NOT(ISNUMBER(I784))), AND(ISNUMBER(I784), OR(I784&lt;0, I784&gt;99998)), AND(L784&lt;&gt;"""", NOT(REGEXMATCH(L784&amp;"""", ""^\d{8,14}$"")))), ""Erro"", """")"),"")</f>
      </c>
    </row>
    <row r="785" ht="15.75" customHeight="true">
      <c r="A785" s="33"/>
      <c r="B785" s="34" t="str">
        <f t="shared" si="1"/>
      </c>
      <c r="C785" s="35"/>
      <c r="D785" s="36"/>
      <c r="E785" s="37"/>
      <c r="F785" s="38"/>
      <c r="G785" s="39" t="str">
        <f t="shared" si="2"/>
      </c>
      <c r="H785" s="40"/>
      <c r="I785" s="41"/>
      <c r="J785" s="41"/>
      <c r="K785" s="41"/>
      <c r="L785" s="42"/>
      <c r="M785" s="43"/>
      <c r="N785" s="44"/>
      <c r="O785" s="45"/>
      <c r="P785" s="46" t="str">
        <f>IFERROR(__xludf.DUMMYFUNCTION("IF(OR(AND(C785&lt;&gt;"""", LEN(C785)&lt;3), LEN(C785)&gt;60, AND(D785&lt;&gt;"""", NOT(ISNUMBER(D785))), AND(ISNUMBER(D785), OR(D785&lt;0.01, D785&gt;999999999)), AND(COUNTA(D785:F785, H785:N785)&gt;0, C785=""""),                  
  AND(COUNTA(C785, H785:N785)&gt;0, D785=""""), LEN("&amp;"H785)&gt;50, AND(I785&lt;&gt;"""", NOT(ISNUMBER(I785))), AND(ISNUMBER(I785), OR(I785&lt;0, I785&gt;99998)), AND(L785&lt;&gt;"""", NOT(REGEXMATCH(L785&amp;"""", ""^\d{8,14}$"")))), ""Erro"", """")"),"")</f>
      </c>
    </row>
    <row r="786" ht="15.75" customHeight="true">
      <c r="A786" s="33"/>
      <c r="B786" s="34" t="str">
        <f t="shared" si="1"/>
      </c>
      <c r="C786" s="35"/>
      <c r="D786" s="36"/>
      <c r="E786" s="37"/>
      <c r="F786" s="38"/>
      <c r="G786" s="39" t="str">
        <f t="shared" si="2"/>
      </c>
      <c r="H786" s="40"/>
      <c r="I786" s="41"/>
      <c r="J786" s="41"/>
      <c r="K786" s="41"/>
      <c r="L786" s="42"/>
      <c r="M786" s="43"/>
      <c r="N786" s="44"/>
      <c r="O786" s="45"/>
      <c r="P786" s="46" t="str">
        <f>IFERROR(__xludf.DUMMYFUNCTION("IF(OR(AND(C786&lt;&gt;"""", LEN(C786)&lt;3), LEN(C786)&gt;60, AND(D786&lt;&gt;"""", NOT(ISNUMBER(D786))), AND(ISNUMBER(D786), OR(D786&lt;0.01, D786&gt;999999999)), AND(COUNTA(D786:F786, H786:N786)&gt;0, C786=""""),                  
  AND(COUNTA(C786, H786:N786)&gt;0, D786=""""), LEN("&amp;"H786)&gt;50, AND(I786&lt;&gt;"""", NOT(ISNUMBER(I786))), AND(ISNUMBER(I786), OR(I786&lt;0, I786&gt;99998)), AND(L786&lt;&gt;"""", NOT(REGEXMATCH(L786&amp;"""", ""^\d{8,14}$"")))), ""Erro"", """")"),"")</f>
      </c>
    </row>
    <row r="787" ht="15.75" customHeight="true">
      <c r="A787" s="33"/>
      <c r="B787" s="34" t="str">
        <f t="shared" si="1"/>
      </c>
      <c r="C787" s="35"/>
      <c r="D787" s="36"/>
      <c r="E787" s="37"/>
      <c r="F787" s="38"/>
      <c r="G787" s="39" t="str">
        <f t="shared" si="2"/>
      </c>
      <c r="H787" s="40"/>
      <c r="I787" s="41"/>
      <c r="J787" s="41"/>
      <c r="K787" s="41"/>
      <c r="L787" s="42"/>
      <c r="M787" s="43"/>
      <c r="N787" s="44"/>
      <c r="O787" s="45"/>
      <c r="P787" s="46" t="str">
        <f>IFERROR(__xludf.DUMMYFUNCTION("IF(OR(AND(C787&lt;&gt;"""", LEN(C787)&lt;3), LEN(C787)&gt;60, AND(D787&lt;&gt;"""", NOT(ISNUMBER(D787))), AND(ISNUMBER(D787), OR(D787&lt;0.01, D787&gt;999999999)), AND(COUNTA(D787:F787, H787:N787)&gt;0, C787=""""),                  
  AND(COUNTA(C787, H787:N787)&gt;0, D787=""""), LEN("&amp;"H787)&gt;50, AND(I787&lt;&gt;"""", NOT(ISNUMBER(I787))), AND(ISNUMBER(I787), OR(I787&lt;0, I787&gt;99998)), AND(L787&lt;&gt;"""", NOT(REGEXMATCH(L787&amp;"""", ""^\d{8,14}$"")))), ""Erro"", """")"),"")</f>
      </c>
    </row>
    <row r="788" ht="15.75" customHeight="true">
      <c r="A788" s="33"/>
      <c r="B788" s="34" t="str">
        <f t="shared" si="1"/>
      </c>
      <c r="C788" s="35"/>
      <c r="D788" s="36"/>
      <c r="E788" s="37"/>
      <c r="F788" s="38"/>
      <c r="G788" s="39" t="str">
        <f t="shared" si="2"/>
      </c>
      <c r="H788" s="40"/>
      <c r="I788" s="41"/>
      <c r="J788" s="41"/>
      <c r="K788" s="41"/>
      <c r="L788" s="42"/>
      <c r="M788" s="43"/>
      <c r="N788" s="44"/>
      <c r="O788" s="45"/>
      <c r="P788" s="46" t="str">
        <f>IFERROR(__xludf.DUMMYFUNCTION("IF(OR(AND(C788&lt;&gt;"""", LEN(C788)&lt;3), LEN(C788)&gt;60, AND(D788&lt;&gt;"""", NOT(ISNUMBER(D788))), AND(ISNUMBER(D788), OR(D788&lt;0.01, D788&gt;999999999)), AND(COUNTA(D788:F788, H788:N788)&gt;0, C788=""""),                  
  AND(COUNTA(C788, H788:N788)&gt;0, D788=""""), LEN("&amp;"H788)&gt;50, AND(I788&lt;&gt;"""", NOT(ISNUMBER(I788))), AND(ISNUMBER(I788), OR(I788&lt;0, I788&gt;99998)), AND(L788&lt;&gt;"""", NOT(REGEXMATCH(L788&amp;"""", ""^\d{8,14}$"")))), ""Erro"", """")"),"")</f>
      </c>
    </row>
    <row r="789" ht="15.75" customHeight="true">
      <c r="A789" s="33"/>
      <c r="B789" s="34" t="str">
        <f t="shared" si="1"/>
      </c>
      <c r="C789" s="35"/>
      <c r="D789" s="36"/>
      <c r="E789" s="37"/>
      <c r="F789" s="38"/>
      <c r="G789" s="39" t="str">
        <f t="shared" si="2"/>
      </c>
      <c r="H789" s="40"/>
      <c r="I789" s="41"/>
      <c r="J789" s="41"/>
      <c r="K789" s="41"/>
      <c r="L789" s="42"/>
      <c r="M789" s="43"/>
      <c r="N789" s="44"/>
      <c r="O789" s="45"/>
      <c r="P789" s="46" t="str">
        <f>IFERROR(__xludf.DUMMYFUNCTION("IF(OR(AND(C789&lt;&gt;"""", LEN(C789)&lt;3), LEN(C789)&gt;60, AND(D789&lt;&gt;"""", NOT(ISNUMBER(D789))), AND(ISNUMBER(D789), OR(D789&lt;0.01, D789&gt;999999999)), AND(COUNTA(D789:F789, H789:N789)&gt;0, C789=""""),                  
  AND(COUNTA(C789, H789:N789)&gt;0, D789=""""), LEN("&amp;"H789)&gt;50, AND(I789&lt;&gt;"""", NOT(ISNUMBER(I789))), AND(ISNUMBER(I789), OR(I789&lt;0, I789&gt;99998)), AND(L789&lt;&gt;"""", NOT(REGEXMATCH(L789&amp;"""", ""^\d{8,14}$"")))), ""Erro"", """")"),"")</f>
      </c>
    </row>
    <row r="790" ht="15.75" customHeight="true">
      <c r="A790" s="33"/>
      <c r="B790" s="34" t="str">
        <f t="shared" si="1"/>
      </c>
      <c r="C790" s="35"/>
      <c r="D790" s="36"/>
      <c r="E790" s="37"/>
      <c r="F790" s="38"/>
      <c r="G790" s="39" t="str">
        <f t="shared" si="2"/>
      </c>
      <c r="H790" s="40"/>
      <c r="I790" s="41"/>
      <c r="J790" s="41"/>
      <c r="K790" s="41"/>
      <c r="L790" s="42"/>
      <c r="M790" s="43"/>
      <c r="N790" s="44"/>
      <c r="O790" s="45"/>
      <c r="P790" s="46" t="str">
        <f>IFERROR(__xludf.DUMMYFUNCTION("IF(OR(AND(C790&lt;&gt;"""", LEN(C790)&lt;3), LEN(C790)&gt;60, AND(D790&lt;&gt;"""", NOT(ISNUMBER(D790))), AND(ISNUMBER(D790), OR(D790&lt;0.01, D790&gt;999999999)), AND(COUNTA(D790:F790, H790:N790)&gt;0, C790=""""),                  
  AND(COUNTA(C790, H790:N790)&gt;0, D790=""""), LEN("&amp;"H790)&gt;50, AND(I790&lt;&gt;"""", NOT(ISNUMBER(I790))), AND(ISNUMBER(I790), OR(I790&lt;0, I790&gt;99998)), AND(L790&lt;&gt;"""", NOT(REGEXMATCH(L790&amp;"""", ""^\d{8,14}$"")))), ""Erro"", """")"),"")</f>
      </c>
    </row>
    <row r="791" ht="15.75" customHeight="true">
      <c r="A791" s="33"/>
      <c r="B791" s="34" t="str">
        <f t="shared" si="1"/>
      </c>
      <c r="C791" s="35"/>
      <c r="D791" s="36"/>
      <c r="E791" s="37"/>
      <c r="F791" s="38"/>
      <c r="G791" s="39" t="str">
        <f t="shared" si="2"/>
      </c>
      <c r="H791" s="40"/>
      <c r="I791" s="41"/>
      <c r="J791" s="41"/>
      <c r="K791" s="41"/>
      <c r="L791" s="42"/>
      <c r="M791" s="43"/>
      <c r="N791" s="44"/>
      <c r="O791" s="45"/>
      <c r="P791" s="46" t="str">
        <f>IFERROR(__xludf.DUMMYFUNCTION("IF(OR(AND(C791&lt;&gt;"""", LEN(C791)&lt;3), LEN(C791)&gt;60, AND(D791&lt;&gt;"""", NOT(ISNUMBER(D791))), AND(ISNUMBER(D791), OR(D791&lt;0.01, D791&gt;999999999)), AND(COUNTA(D791:F791, H791:N791)&gt;0, C791=""""),                  
  AND(COUNTA(C791, H791:N791)&gt;0, D791=""""), LEN("&amp;"H791)&gt;50, AND(I791&lt;&gt;"""", NOT(ISNUMBER(I791))), AND(ISNUMBER(I791), OR(I791&lt;0, I791&gt;99998)), AND(L791&lt;&gt;"""", NOT(REGEXMATCH(L791&amp;"""", ""^\d{8,14}$"")))), ""Erro"", """")"),"")</f>
      </c>
    </row>
    <row r="792" ht="15.75" customHeight="true">
      <c r="A792" s="33"/>
      <c r="B792" s="34" t="str">
        <f t="shared" si="1"/>
      </c>
      <c r="C792" s="35"/>
      <c r="D792" s="36"/>
      <c r="E792" s="37"/>
      <c r="F792" s="38"/>
      <c r="G792" s="39" t="str">
        <f t="shared" si="2"/>
      </c>
      <c r="H792" s="40"/>
      <c r="I792" s="41"/>
      <c r="J792" s="41"/>
      <c r="K792" s="41"/>
      <c r="L792" s="42"/>
      <c r="M792" s="43"/>
      <c r="N792" s="44"/>
      <c r="O792" s="45"/>
      <c r="P792" s="46" t="str">
        <f>IFERROR(__xludf.DUMMYFUNCTION("IF(OR(AND(C792&lt;&gt;"""", LEN(C792)&lt;3), LEN(C792)&gt;60, AND(D792&lt;&gt;"""", NOT(ISNUMBER(D792))), AND(ISNUMBER(D792), OR(D792&lt;0.01, D792&gt;999999999)), AND(COUNTA(D792:F792, H792:N792)&gt;0, C792=""""),                  
  AND(COUNTA(C792, H792:N792)&gt;0, D792=""""), LEN("&amp;"H792)&gt;50, AND(I792&lt;&gt;"""", NOT(ISNUMBER(I792))), AND(ISNUMBER(I792), OR(I792&lt;0, I792&gt;99998)), AND(L792&lt;&gt;"""", NOT(REGEXMATCH(L792&amp;"""", ""^\d{8,14}$"")))), ""Erro"", """")"),"")</f>
      </c>
    </row>
    <row r="793" ht="15.75" customHeight="true">
      <c r="A793" s="33"/>
      <c r="B793" s="34" t="str">
        <f t="shared" si="1"/>
      </c>
      <c r="C793" s="35"/>
      <c r="D793" s="36"/>
      <c r="E793" s="37"/>
      <c r="F793" s="38"/>
      <c r="G793" s="39" t="str">
        <f t="shared" si="2"/>
      </c>
      <c r="H793" s="40"/>
      <c r="I793" s="41"/>
      <c r="J793" s="41"/>
      <c r="K793" s="41"/>
      <c r="L793" s="42"/>
      <c r="M793" s="43"/>
      <c r="N793" s="44"/>
      <c r="O793" s="45"/>
      <c r="P793" s="46" t="str">
        <f>IFERROR(__xludf.DUMMYFUNCTION("IF(OR(AND(C793&lt;&gt;"""", LEN(C793)&lt;3), LEN(C793)&gt;60, AND(D793&lt;&gt;"""", NOT(ISNUMBER(D793))), AND(ISNUMBER(D793), OR(D793&lt;0.01, D793&gt;999999999)), AND(COUNTA(D793:F793, H793:N793)&gt;0, C793=""""),                  
  AND(COUNTA(C793, H793:N793)&gt;0, D793=""""), LEN("&amp;"H793)&gt;50, AND(I793&lt;&gt;"""", NOT(ISNUMBER(I793))), AND(ISNUMBER(I793), OR(I793&lt;0, I793&gt;99998)), AND(L793&lt;&gt;"""", NOT(REGEXMATCH(L793&amp;"""", ""^\d{8,14}$"")))), ""Erro"", """")"),"")</f>
      </c>
    </row>
    <row r="794" ht="15.75" customHeight="true">
      <c r="A794" s="33"/>
      <c r="B794" s="34" t="str">
        <f t="shared" si="1"/>
      </c>
      <c r="C794" s="35"/>
      <c r="D794" s="36"/>
      <c r="E794" s="37"/>
      <c r="F794" s="38"/>
      <c r="G794" s="39" t="str">
        <f t="shared" si="2"/>
      </c>
      <c r="H794" s="40"/>
      <c r="I794" s="41"/>
      <c r="J794" s="41"/>
      <c r="K794" s="41"/>
      <c r="L794" s="42"/>
      <c r="M794" s="43"/>
      <c r="N794" s="44"/>
      <c r="O794" s="45"/>
      <c r="P794" s="46" t="str">
        <f>IFERROR(__xludf.DUMMYFUNCTION("IF(OR(AND(C794&lt;&gt;"""", LEN(C794)&lt;3), LEN(C794)&gt;60, AND(D794&lt;&gt;"""", NOT(ISNUMBER(D794))), AND(ISNUMBER(D794), OR(D794&lt;0.01, D794&gt;999999999)), AND(COUNTA(D794:F794, H794:N794)&gt;0, C794=""""),                  
  AND(COUNTA(C794, H794:N794)&gt;0, D794=""""), LEN("&amp;"H794)&gt;50, AND(I794&lt;&gt;"""", NOT(ISNUMBER(I794))), AND(ISNUMBER(I794), OR(I794&lt;0, I794&gt;99998)), AND(L794&lt;&gt;"""", NOT(REGEXMATCH(L794&amp;"""", ""^\d{8,14}$"")))), ""Erro"", """")"),"")</f>
      </c>
    </row>
    <row r="795" ht="15.75" customHeight="true">
      <c r="A795" s="33"/>
      <c r="B795" s="34" t="str">
        <f t="shared" si="1"/>
      </c>
      <c r="C795" s="35"/>
      <c r="D795" s="36"/>
      <c r="E795" s="37"/>
      <c r="F795" s="38"/>
      <c r="G795" s="39" t="str">
        <f t="shared" si="2"/>
      </c>
      <c r="H795" s="40"/>
      <c r="I795" s="41"/>
      <c r="J795" s="41"/>
      <c r="K795" s="41"/>
      <c r="L795" s="42"/>
      <c r="M795" s="43"/>
      <c r="N795" s="44"/>
      <c r="O795" s="45"/>
      <c r="P795" s="46" t="str">
        <f>IFERROR(__xludf.DUMMYFUNCTION("IF(OR(AND(C795&lt;&gt;"""", LEN(C795)&lt;3), LEN(C795)&gt;60, AND(D795&lt;&gt;"""", NOT(ISNUMBER(D795))), AND(ISNUMBER(D795), OR(D795&lt;0.01, D795&gt;999999999)), AND(COUNTA(D795:F795, H795:N795)&gt;0, C795=""""),                  
  AND(COUNTA(C795, H795:N795)&gt;0, D795=""""), LEN("&amp;"H795)&gt;50, AND(I795&lt;&gt;"""", NOT(ISNUMBER(I795))), AND(ISNUMBER(I795), OR(I795&lt;0, I795&gt;99998)), AND(L795&lt;&gt;"""", NOT(REGEXMATCH(L795&amp;"""", ""^\d{8,14}$"")))), ""Erro"", """")"),"")</f>
      </c>
    </row>
    <row r="796" ht="15.75" customHeight="true">
      <c r="A796" s="33"/>
      <c r="B796" s="34" t="str">
        <f t="shared" si="1"/>
      </c>
      <c r="C796" s="35"/>
      <c r="D796" s="36"/>
      <c r="E796" s="37"/>
      <c r="F796" s="38"/>
      <c r="G796" s="39" t="str">
        <f t="shared" si="2"/>
      </c>
      <c r="H796" s="40"/>
      <c r="I796" s="41"/>
      <c r="J796" s="41"/>
      <c r="K796" s="41"/>
      <c r="L796" s="42"/>
      <c r="M796" s="43"/>
      <c r="N796" s="44"/>
      <c r="O796" s="45"/>
      <c r="P796" s="46" t="str">
        <f>IFERROR(__xludf.DUMMYFUNCTION("IF(OR(AND(C796&lt;&gt;"""", LEN(C796)&lt;3), LEN(C796)&gt;60, AND(D796&lt;&gt;"""", NOT(ISNUMBER(D796))), AND(ISNUMBER(D796), OR(D796&lt;0.01, D796&gt;999999999)), AND(COUNTA(D796:F796, H796:N796)&gt;0, C796=""""),                  
  AND(COUNTA(C796, H796:N796)&gt;0, D796=""""), LEN("&amp;"H796)&gt;50, AND(I796&lt;&gt;"""", NOT(ISNUMBER(I796))), AND(ISNUMBER(I796), OR(I796&lt;0, I796&gt;99998)), AND(L796&lt;&gt;"""", NOT(REGEXMATCH(L796&amp;"""", ""^\d{8,14}$"")))), ""Erro"", """")"),"")</f>
      </c>
    </row>
    <row r="797" ht="15.75" customHeight="true">
      <c r="A797" s="33"/>
      <c r="B797" s="34" t="str">
        <f t="shared" si="1"/>
      </c>
      <c r="C797" s="35"/>
      <c r="D797" s="36"/>
      <c r="E797" s="37"/>
      <c r="F797" s="38"/>
      <c r="G797" s="39" t="str">
        <f t="shared" si="2"/>
      </c>
      <c r="H797" s="40"/>
      <c r="I797" s="41"/>
      <c r="J797" s="41"/>
      <c r="K797" s="41"/>
      <c r="L797" s="42"/>
      <c r="M797" s="43"/>
      <c r="N797" s="44"/>
      <c r="O797" s="45"/>
      <c r="P797" s="46" t="str">
        <f>IFERROR(__xludf.DUMMYFUNCTION("IF(OR(AND(C797&lt;&gt;"""", LEN(C797)&lt;3), LEN(C797)&gt;60, AND(D797&lt;&gt;"""", NOT(ISNUMBER(D797))), AND(ISNUMBER(D797), OR(D797&lt;0.01, D797&gt;999999999)), AND(COUNTA(D797:F797, H797:N797)&gt;0, C797=""""),                  
  AND(COUNTA(C797, H797:N797)&gt;0, D797=""""), LEN("&amp;"H797)&gt;50, AND(I797&lt;&gt;"""", NOT(ISNUMBER(I797))), AND(ISNUMBER(I797), OR(I797&lt;0, I797&gt;99998)), AND(L797&lt;&gt;"""", NOT(REGEXMATCH(L797&amp;"""", ""^\d{8,14}$"")))), ""Erro"", """")"),"")</f>
      </c>
    </row>
    <row r="798" ht="15.75" customHeight="true">
      <c r="A798" s="33"/>
      <c r="B798" s="34" t="str">
        <f t="shared" si="1"/>
      </c>
      <c r="C798" s="35"/>
      <c r="D798" s="36"/>
      <c r="E798" s="37"/>
      <c r="F798" s="38"/>
      <c r="G798" s="39" t="str">
        <f t="shared" si="2"/>
      </c>
      <c r="H798" s="40"/>
      <c r="I798" s="41"/>
      <c r="J798" s="41"/>
      <c r="K798" s="41"/>
      <c r="L798" s="42"/>
      <c r="M798" s="43"/>
      <c r="N798" s="44"/>
      <c r="O798" s="45"/>
      <c r="P798" s="46" t="str">
        <f>IFERROR(__xludf.DUMMYFUNCTION("IF(OR(AND(C798&lt;&gt;"""", LEN(C798)&lt;3), LEN(C798)&gt;60, AND(D798&lt;&gt;"""", NOT(ISNUMBER(D798))), AND(ISNUMBER(D798), OR(D798&lt;0.01, D798&gt;999999999)), AND(COUNTA(D798:F798, H798:N798)&gt;0, C798=""""),                  
  AND(COUNTA(C798, H798:N798)&gt;0, D798=""""), LEN("&amp;"H798)&gt;50, AND(I798&lt;&gt;"""", NOT(ISNUMBER(I798))), AND(ISNUMBER(I798), OR(I798&lt;0, I798&gt;99998)), AND(L798&lt;&gt;"""", NOT(REGEXMATCH(L798&amp;"""", ""^\d{8,14}$"")))), ""Erro"", """")"),"")</f>
      </c>
    </row>
    <row r="799" ht="15.75" customHeight="true">
      <c r="A799" s="33"/>
      <c r="B799" s="34" t="str">
        <f t="shared" si="1"/>
      </c>
      <c r="C799" s="35"/>
      <c r="D799" s="36"/>
      <c r="E799" s="37"/>
      <c r="F799" s="38"/>
      <c r="G799" s="39" t="str">
        <f t="shared" si="2"/>
      </c>
      <c r="H799" s="40"/>
      <c r="I799" s="41"/>
      <c r="J799" s="41"/>
      <c r="K799" s="41"/>
      <c r="L799" s="42"/>
      <c r="M799" s="43"/>
      <c r="N799" s="44"/>
      <c r="O799" s="45"/>
      <c r="P799" s="46" t="str">
        <f>IFERROR(__xludf.DUMMYFUNCTION("IF(OR(AND(C799&lt;&gt;"""", LEN(C799)&lt;3), LEN(C799)&gt;60, AND(D799&lt;&gt;"""", NOT(ISNUMBER(D799))), AND(ISNUMBER(D799), OR(D799&lt;0.01, D799&gt;999999999)), AND(COUNTA(D799:F799, H799:N799)&gt;0, C799=""""),                  
  AND(COUNTA(C799, H799:N799)&gt;0, D799=""""), LEN("&amp;"H799)&gt;50, AND(I799&lt;&gt;"""", NOT(ISNUMBER(I799))), AND(ISNUMBER(I799), OR(I799&lt;0, I799&gt;99998)), AND(L799&lt;&gt;"""", NOT(REGEXMATCH(L799&amp;"""", ""^\d{8,14}$"")))), ""Erro"", """")"),"")</f>
      </c>
    </row>
    <row r="800" ht="15.75" customHeight="true">
      <c r="A800" s="33"/>
      <c r="B800" s="34" t="str">
        <f t="shared" si="1"/>
      </c>
      <c r="C800" s="35"/>
      <c r="D800" s="36"/>
      <c r="E800" s="37"/>
      <c r="F800" s="38"/>
      <c r="G800" s="39" t="str">
        <f t="shared" si="2"/>
      </c>
      <c r="H800" s="40"/>
      <c r="I800" s="41"/>
      <c r="J800" s="41"/>
      <c r="K800" s="41"/>
      <c r="L800" s="42"/>
      <c r="M800" s="43"/>
      <c r="N800" s="44"/>
      <c r="O800" s="45"/>
      <c r="P800" s="46" t="str">
        <f>IFERROR(__xludf.DUMMYFUNCTION("IF(OR(AND(C800&lt;&gt;"""", LEN(C800)&lt;3), LEN(C800)&gt;60, AND(D800&lt;&gt;"""", NOT(ISNUMBER(D800))), AND(ISNUMBER(D800), OR(D800&lt;0.01, D800&gt;999999999)), AND(COUNTA(D800:F800, H800:N800)&gt;0, C800=""""),                  
  AND(COUNTA(C800, H800:N800)&gt;0, D800=""""), LEN("&amp;"H800)&gt;50, AND(I800&lt;&gt;"""", NOT(ISNUMBER(I800))), AND(ISNUMBER(I800), OR(I800&lt;0, I800&gt;99998)), AND(L800&lt;&gt;"""", NOT(REGEXMATCH(L800&amp;"""", ""^\d{8,14}$"")))), ""Erro"", """")"),"")</f>
      </c>
    </row>
    <row r="801" ht="15.75" customHeight="true">
      <c r="A801" s="33"/>
      <c r="B801" s="34" t="str">
        <f t="shared" si="1"/>
      </c>
      <c r="C801" s="35"/>
      <c r="D801" s="36"/>
      <c r="E801" s="37"/>
      <c r="F801" s="38"/>
      <c r="G801" s="39" t="str">
        <f t="shared" si="2"/>
      </c>
      <c r="H801" s="40"/>
      <c r="I801" s="41"/>
      <c r="J801" s="41"/>
      <c r="K801" s="41"/>
      <c r="L801" s="42"/>
      <c r="M801" s="43"/>
      <c r="N801" s="44"/>
      <c r="O801" s="45"/>
      <c r="P801" s="46" t="str">
        <f>IFERROR(__xludf.DUMMYFUNCTION("IF(OR(AND(C801&lt;&gt;"""", LEN(C801)&lt;3), LEN(C801)&gt;60, AND(D801&lt;&gt;"""", NOT(ISNUMBER(D801))), AND(ISNUMBER(D801), OR(D801&lt;0.01, D801&gt;999999999)), AND(COUNTA(D801:F801, H801:N801)&gt;0, C801=""""),                  
  AND(COUNTA(C801, H801:N801)&gt;0, D801=""""), LEN("&amp;"H801)&gt;50, AND(I801&lt;&gt;"""", NOT(ISNUMBER(I801))), AND(ISNUMBER(I801), OR(I801&lt;0, I801&gt;99998)), AND(L801&lt;&gt;"""", NOT(REGEXMATCH(L801&amp;"""", ""^\d{8,14}$"")))), ""Erro"", """")"),"")</f>
      </c>
    </row>
    <row r="802" ht="15.75" customHeight="true">
      <c r="A802" s="33"/>
      <c r="B802" s="34" t="str">
        <f t="shared" si="1"/>
      </c>
      <c r="C802" s="35"/>
      <c r="D802" s="36"/>
      <c r="E802" s="37"/>
      <c r="F802" s="38"/>
      <c r="G802" s="39" t="str">
        <f t="shared" si="2"/>
      </c>
      <c r="H802" s="40"/>
      <c r="I802" s="41"/>
      <c r="J802" s="41"/>
      <c r="K802" s="41"/>
      <c r="L802" s="42"/>
      <c r="M802" s="43"/>
      <c r="N802" s="44"/>
      <c r="O802" s="45"/>
      <c r="P802" s="46" t="str">
        <f>IFERROR(__xludf.DUMMYFUNCTION("IF(OR(AND(C802&lt;&gt;"""", LEN(C802)&lt;3), LEN(C802)&gt;60, AND(D802&lt;&gt;"""", NOT(ISNUMBER(D802))), AND(ISNUMBER(D802), OR(D802&lt;0.01, D802&gt;999999999)), AND(COUNTA(D802:F802, H802:N802)&gt;0, C802=""""),                  
  AND(COUNTA(C802, H802:N802)&gt;0, D802=""""), LEN("&amp;"H802)&gt;50, AND(I802&lt;&gt;"""", NOT(ISNUMBER(I802))), AND(ISNUMBER(I802), OR(I802&lt;0, I802&gt;99998)), AND(L802&lt;&gt;"""", NOT(REGEXMATCH(L802&amp;"""", ""^\d{8,14}$"")))), ""Erro"", """")"),"")</f>
      </c>
    </row>
    <row r="803" ht="15.75" customHeight="true">
      <c r="A803" s="33"/>
      <c r="B803" s="34" t="str">
        <f t="shared" si="1"/>
      </c>
      <c r="C803" s="35"/>
      <c r="D803" s="36"/>
      <c r="E803" s="37"/>
      <c r="F803" s="38"/>
      <c r="G803" s="39" t="str">
        <f t="shared" si="2"/>
      </c>
      <c r="H803" s="40"/>
      <c r="I803" s="41"/>
      <c r="J803" s="41"/>
      <c r="K803" s="41"/>
      <c r="L803" s="42"/>
      <c r="M803" s="43"/>
      <c r="N803" s="44"/>
      <c r="O803" s="45"/>
      <c r="P803" s="46" t="str">
        <f>IFERROR(__xludf.DUMMYFUNCTION("IF(OR(AND(C803&lt;&gt;"""", LEN(C803)&lt;3), LEN(C803)&gt;60, AND(D803&lt;&gt;"""", NOT(ISNUMBER(D803))), AND(ISNUMBER(D803), OR(D803&lt;0.01, D803&gt;999999999)), AND(COUNTA(D803:F803, H803:N803)&gt;0, C803=""""),                  
  AND(COUNTA(C803, H803:N803)&gt;0, D803=""""), LEN("&amp;"H803)&gt;50, AND(I803&lt;&gt;"""", NOT(ISNUMBER(I803))), AND(ISNUMBER(I803), OR(I803&lt;0, I803&gt;99998)), AND(L803&lt;&gt;"""", NOT(REGEXMATCH(L803&amp;"""", ""^\d{8,14}$"")))), ""Erro"", """")"),"")</f>
      </c>
    </row>
    <row r="804" ht="15.75" customHeight="true">
      <c r="A804" s="33"/>
      <c r="B804" s="34" t="str">
        <f t="shared" si="1"/>
      </c>
      <c r="C804" s="35"/>
      <c r="D804" s="36"/>
      <c r="E804" s="37"/>
      <c r="F804" s="38"/>
      <c r="G804" s="39" t="str">
        <f t="shared" si="2"/>
      </c>
      <c r="H804" s="40"/>
      <c r="I804" s="41"/>
      <c r="J804" s="41"/>
      <c r="K804" s="41"/>
      <c r="L804" s="42"/>
      <c r="M804" s="43"/>
      <c r="N804" s="44"/>
      <c r="O804" s="45"/>
      <c r="P804" s="46" t="str">
        <f>IFERROR(__xludf.DUMMYFUNCTION("IF(OR(AND(C804&lt;&gt;"""", LEN(C804)&lt;3), LEN(C804)&gt;60, AND(D804&lt;&gt;"""", NOT(ISNUMBER(D804))), AND(ISNUMBER(D804), OR(D804&lt;0.01, D804&gt;999999999)), AND(COUNTA(D804:F804, H804:N804)&gt;0, C804=""""),                  
  AND(COUNTA(C804, H804:N804)&gt;0, D804=""""), LEN("&amp;"H804)&gt;50, AND(I804&lt;&gt;"""", NOT(ISNUMBER(I804))), AND(ISNUMBER(I804), OR(I804&lt;0, I804&gt;99998)), AND(L804&lt;&gt;"""", NOT(REGEXMATCH(L804&amp;"""", ""^\d{8,14}$"")))), ""Erro"", """")"),"")</f>
      </c>
    </row>
    <row r="805" ht="15.75" customHeight="true">
      <c r="A805" s="33"/>
      <c r="B805" s="34" t="str">
        <f t="shared" si="1"/>
      </c>
      <c r="C805" s="35"/>
      <c r="D805" s="36"/>
      <c r="E805" s="37"/>
      <c r="F805" s="38"/>
      <c r="G805" s="39" t="str">
        <f t="shared" si="2"/>
      </c>
      <c r="H805" s="40"/>
      <c r="I805" s="41"/>
      <c r="J805" s="41"/>
      <c r="K805" s="41"/>
      <c r="L805" s="42"/>
      <c r="M805" s="43"/>
      <c r="N805" s="44"/>
      <c r="O805" s="45"/>
      <c r="P805" s="46" t="str">
        <f>IFERROR(__xludf.DUMMYFUNCTION("IF(OR(AND(C805&lt;&gt;"""", LEN(C805)&lt;3), LEN(C805)&gt;60, AND(D805&lt;&gt;"""", NOT(ISNUMBER(D805))), AND(ISNUMBER(D805), OR(D805&lt;0.01, D805&gt;999999999)), AND(COUNTA(D805:F805, H805:N805)&gt;0, C805=""""),                  
  AND(COUNTA(C805, H805:N805)&gt;0, D805=""""), LEN("&amp;"H805)&gt;50, AND(I805&lt;&gt;"""", NOT(ISNUMBER(I805))), AND(ISNUMBER(I805), OR(I805&lt;0, I805&gt;99998)), AND(L805&lt;&gt;"""", NOT(REGEXMATCH(L805&amp;"""", ""^\d{8,14}$"")))), ""Erro"", """")"),"")</f>
      </c>
    </row>
    <row r="806" ht="15.75" customHeight="true">
      <c r="A806" s="33"/>
      <c r="B806" s="34" t="str">
        <f t="shared" si="1"/>
      </c>
      <c r="C806" s="35"/>
      <c r="D806" s="36"/>
      <c r="E806" s="37"/>
      <c r="F806" s="38"/>
      <c r="G806" s="39" t="str">
        <f t="shared" si="2"/>
      </c>
      <c r="H806" s="40"/>
      <c r="I806" s="41"/>
      <c r="J806" s="41"/>
      <c r="K806" s="41"/>
      <c r="L806" s="42"/>
      <c r="M806" s="43"/>
      <c r="N806" s="44"/>
      <c r="O806" s="45"/>
      <c r="P806" s="46" t="str">
        <f>IFERROR(__xludf.DUMMYFUNCTION("IF(OR(AND(C806&lt;&gt;"""", LEN(C806)&lt;3), LEN(C806)&gt;60, AND(D806&lt;&gt;"""", NOT(ISNUMBER(D806))), AND(ISNUMBER(D806), OR(D806&lt;0.01, D806&gt;999999999)), AND(COUNTA(D806:F806, H806:N806)&gt;0, C806=""""),                  
  AND(COUNTA(C806, H806:N806)&gt;0, D806=""""), LEN("&amp;"H806)&gt;50, AND(I806&lt;&gt;"""", NOT(ISNUMBER(I806))), AND(ISNUMBER(I806), OR(I806&lt;0, I806&gt;99998)), AND(L806&lt;&gt;"""", NOT(REGEXMATCH(L806&amp;"""", ""^\d{8,14}$"")))), ""Erro"", """")"),"")</f>
      </c>
    </row>
    <row r="807" ht="15.75" customHeight="true">
      <c r="A807" s="33"/>
      <c r="B807" s="34" t="str">
        <f t="shared" si="1"/>
      </c>
      <c r="C807" s="35"/>
      <c r="D807" s="36"/>
      <c r="E807" s="37"/>
      <c r="F807" s="38"/>
      <c r="G807" s="39" t="str">
        <f t="shared" si="2"/>
      </c>
      <c r="H807" s="40"/>
      <c r="I807" s="41"/>
      <c r="J807" s="41"/>
      <c r="K807" s="41"/>
      <c r="L807" s="42"/>
      <c r="M807" s="43"/>
      <c r="N807" s="44"/>
      <c r="O807" s="45"/>
      <c r="P807" s="46" t="str">
        <f>IFERROR(__xludf.DUMMYFUNCTION("IF(OR(AND(C807&lt;&gt;"""", LEN(C807)&lt;3), LEN(C807)&gt;60, AND(D807&lt;&gt;"""", NOT(ISNUMBER(D807))), AND(ISNUMBER(D807), OR(D807&lt;0.01, D807&gt;999999999)), AND(COUNTA(D807:F807, H807:N807)&gt;0, C807=""""),                  
  AND(COUNTA(C807, H807:N807)&gt;0, D807=""""), LEN("&amp;"H807)&gt;50, AND(I807&lt;&gt;"""", NOT(ISNUMBER(I807))), AND(ISNUMBER(I807), OR(I807&lt;0, I807&gt;99998)), AND(L807&lt;&gt;"""", NOT(REGEXMATCH(L807&amp;"""", ""^\d{8,14}$"")))), ""Erro"", """")"),"")</f>
      </c>
    </row>
    <row r="808" ht="15.75" customHeight="true">
      <c r="A808" s="33"/>
      <c r="B808" s="34" t="str">
        <f t="shared" si="1"/>
      </c>
      <c r="C808" s="35"/>
      <c r="D808" s="36"/>
      <c r="E808" s="37"/>
      <c r="F808" s="38"/>
      <c r="G808" s="39" t="str">
        <f t="shared" si="2"/>
      </c>
      <c r="H808" s="40"/>
      <c r="I808" s="41"/>
      <c r="J808" s="41"/>
      <c r="K808" s="41"/>
      <c r="L808" s="42"/>
      <c r="M808" s="43"/>
      <c r="N808" s="44"/>
      <c r="O808" s="45"/>
      <c r="P808" s="46" t="str">
        <f>IFERROR(__xludf.DUMMYFUNCTION("IF(OR(AND(C808&lt;&gt;"""", LEN(C808)&lt;3), LEN(C808)&gt;60, AND(D808&lt;&gt;"""", NOT(ISNUMBER(D808))), AND(ISNUMBER(D808), OR(D808&lt;0.01, D808&gt;999999999)), AND(COUNTA(D808:F808, H808:N808)&gt;0, C808=""""),                  
  AND(COUNTA(C808, H808:N808)&gt;0, D808=""""), LEN("&amp;"H808)&gt;50, AND(I808&lt;&gt;"""", NOT(ISNUMBER(I808))), AND(ISNUMBER(I808), OR(I808&lt;0, I808&gt;99998)), AND(L808&lt;&gt;"""", NOT(REGEXMATCH(L808&amp;"""", ""^\d{8,14}$"")))), ""Erro"", """")"),"")</f>
      </c>
    </row>
    <row r="809" ht="15.75" customHeight="true">
      <c r="A809" s="33"/>
      <c r="B809" s="34" t="str">
        <f t="shared" si="1"/>
      </c>
      <c r="C809" s="35"/>
      <c r="D809" s="36"/>
      <c r="E809" s="37"/>
      <c r="F809" s="38"/>
      <c r="G809" s="39" t="str">
        <f t="shared" si="2"/>
      </c>
      <c r="H809" s="40"/>
      <c r="I809" s="41"/>
      <c r="J809" s="41"/>
      <c r="K809" s="41"/>
      <c r="L809" s="42"/>
      <c r="M809" s="43"/>
      <c r="N809" s="44"/>
      <c r="O809" s="45"/>
      <c r="P809" s="46" t="str">
        <f>IFERROR(__xludf.DUMMYFUNCTION("IF(OR(AND(C809&lt;&gt;"""", LEN(C809)&lt;3), LEN(C809)&gt;60, AND(D809&lt;&gt;"""", NOT(ISNUMBER(D809))), AND(ISNUMBER(D809), OR(D809&lt;0.01, D809&gt;999999999)), AND(COUNTA(D809:F809, H809:N809)&gt;0, C809=""""),                  
  AND(COUNTA(C809, H809:N809)&gt;0, D809=""""), LEN("&amp;"H809)&gt;50, AND(I809&lt;&gt;"""", NOT(ISNUMBER(I809))), AND(ISNUMBER(I809), OR(I809&lt;0, I809&gt;99998)), AND(L809&lt;&gt;"""", NOT(REGEXMATCH(L809&amp;"""", ""^\d{8,14}$"")))), ""Erro"", """")"),"")</f>
      </c>
    </row>
    <row r="810" ht="15.75" customHeight="true">
      <c r="A810" s="33"/>
      <c r="B810" s="34" t="str">
        <f t="shared" si="1"/>
      </c>
      <c r="C810" s="35"/>
      <c r="D810" s="36"/>
      <c r="E810" s="37"/>
      <c r="F810" s="38"/>
      <c r="G810" s="39" t="str">
        <f t="shared" si="2"/>
      </c>
      <c r="H810" s="40"/>
      <c r="I810" s="41"/>
      <c r="J810" s="41"/>
      <c r="K810" s="41"/>
      <c r="L810" s="42"/>
      <c r="M810" s="43"/>
      <c r="N810" s="44"/>
      <c r="O810" s="45"/>
      <c r="P810" s="46" t="str">
        <f>IFERROR(__xludf.DUMMYFUNCTION("IF(OR(AND(C810&lt;&gt;"""", LEN(C810)&lt;3), LEN(C810)&gt;60, AND(D810&lt;&gt;"""", NOT(ISNUMBER(D810))), AND(ISNUMBER(D810), OR(D810&lt;0.01, D810&gt;999999999)), AND(COUNTA(D810:F810, H810:N810)&gt;0, C810=""""),                  
  AND(COUNTA(C810, H810:N810)&gt;0, D810=""""), LEN("&amp;"H810)&gt;50, AND(I810&lt;&gt;"""", NOT(ISNUMBER(I810))), AND(ISNUMBER(I810), OR(I810&lt;0, I810&gt;99998)), AND(L810&lt;&gt;"""", NOT(REGEXMATCH(L810&amp;"""", ""^\d{8,14}$"")))), ""Erro"", """")"),"")</f>
      </c>
    </row>
    <row r="811" ht="15.75" customHeight="true">
      <c r="A811" s="33"/>
      <c r="B811" s="34" t="str">
        <f t="shared" si="1"/>
      </c>
      <c r="C811" s="35"/>
      <c r="D811" s="36"/>
      <c r="E811" s="37"/>
      <c r="F811" s="38"/>
      <c r="G811" s="39" t="str">
        <f t="shared" si="2"/>
      </c>
      <c r="H811" s="40"/>
      <c r="I811" s="41"/>
      <c r="J811" s="41"/>
      <c r="K811" s="41"/>
      <c r="L811" s="42"/>
      <c r="M811" s="43"/>
      <c r="N811" s="44"/>
      <c r="O811" s="45"/>
      <c r="P811" s="46" t="str">
        <f>IFERROR(__xludf.DUMMYFUNCTION("IF(OR(AND(C811&lt;&gt;"""", LEN(C811)&lt;3), LEN(C811)&gt;60, AND(D811&lt;&gt;"""", NOT(ISNUMBER(D811))), AND(ISNUMBER(D811), OR(D811&lt;0.01, D811&gt;999999999)), AND(COUNTA(D811:F811, H811:N811)&gt;0, C811=""""),                  
  AND(COUNTA(C811, H811:N811)&gt;0, D811=""""), LEN("&amp;"H811)&gt;50, AND(I811&lt;&gt;"""", NOT(ISNUMBER(I811))), AND(ISNUMBER(I811), OR(I811&lt;0, I811&gt;99998)), AND(L811&lt;&gt;"""", NOT(REGEXMATCH(L811&amp;"""", ""^\d{8,14}$"")))), ""Erro"", """")"),"")</f>
      </c>
    </row>
    <row r="812" ht="15.75" customHeight="true">
      <c r="A812" s="33"/>
      <c r="B812" s="34" t="str">
        <f t="shared" si="1"/>
      </c>
      <c r="C812" s="35"/>
      <c r="D812" s="36"/>
      <c r="E812" s="37"/>
      <c r="F812" s="38"/>
      <c r="G812" s="39" t="str">
        <f t="shared" si="2"/>
      </c>
      <c r="H812" s="40"/>
      <c r="I812" s="41"/>
      <c r="J812" s="41"/>
      <c r="K812" s="41"/>
      <c r="L812" s="42"/>
      <c r="M812" s="43"/>
      <c r="N812" s="44"/>
      <c r="O812" s="45"/>
      <c r="P812" s="46" t="str">
        <f>IFERROR(__xludf.DUMMYFUNCTION("IF(OR(AND(C812&lt;&gt;"""", LEN(C812)&lt;3), LEN(C812)&gt;60, AND(D812&lt;&gt;"""", NOT(ISNUMBER(D812))), AND(ISNUMBER(D812), OR(D812&lt;0.01, D812&gt;999999999)), AND(COUNTA(D812:F812, H812:N812)&gt;0, C812=""""),                  
  AND(COUNTA(C812, H812:N812)&gt;0, D812=""""), LEN("&amp;"H812)&gt;50, AND(I812&lt;&gt;"""", NOT(ISNUMBER(I812))), AND(ISNUMBER(I812), OR(I812&lt;0, I812&gt;99998)), AND(L812&lt;&gt;"""", NOT(REGEXMATCH(L812&amp;"""", ""^\d{8,14}$"")))), ""Erro"", """")"),"")</f>
      </c>
    </row>
    <row r="813" ht="15.75" customHeight="true">
      <c r="A813" s="33"/>
      <c r="B813" s="34" t="str">
        <f t="shared" si="1"/>
      </c>
      <c r="C813" s="35"/>
      <c r="D813" s="36"/>
      <c r="E813" s="37"/>
      <c r="F813" s="38"/>
      <c r="G813" s="39" t="str">
        <f t="shared" si="2"/>
      </c>
      <c r="H813" s="40"/>
      <c r="I813" s="41"/>
      <c r="J813" s="41"/>
      <c r="K813" s="41"/>
      <c r="L813" s="42"/>
      <c r="M813" s="43"/>
      <c r="N813" s="44"/>
      <c r="O813" s="45"/>
      <c r="P813" s="46" t="str">
        <f>IFERROR(__xludf.DUMMYFUNCTION("IF(OR(AND(C813&lt;&gt;"""", LEN(C813)&lt;3), LEN(C813)&gt;60, AND(D813&lt;&gt;"""", NOT(ISNUMBER(D813))), AND(ISNUMBER(D813), OR(D813&lt;0.01, D813&gt;999999999)), AND(COUNTA(D813:F813, H813:N813)&gt;0, C813=""""),                  
  AND(COUNTA(C813, H813:N813)&gt;0, D813=""""), LEN("&amp;"H813)&gt;50, AND(I813&lt;&gt;"""", NOT(ISNUMBER(I813))), AND(ISNUMBER(I813), OR(I813&lt;0, I813&gt;99998)), AND(L813&lt;&gt;"""", NOT(REGEXMATCH(L813&amp;"""", ""^\d{8,14}$"")))), ""Erro"", """")"),"")</f>
      </c>
    </row>
    <row r="814" ht="15.75" customHeight="true">
      <c r="A814" s="33"/>
      <c r="B814" s="34" t="str">
        <f t="shared" si="1"/>
      </c>
      <c r="C814" s="35"/>
      <c r="D814" s="36"/>
      <c r="E814" s="37"/>
      <c r="F814" s="38"/>
      <c r="G814" s="39" t="str">
        <f t="shared" si="2"/>
      </c>
      <c r="H814" s="40"/>
      <c r="I814" s="41"/>
      <c r="J814" s="41"/>
      <c r="K814" s="41"/>
      <c r="L814" s="42"/>
      <c r="M814" s="43"/>
      <c r="N814" s="44"/>
      <c r="O814" s="45"/>
      <c r="P814" s="46" t="str">
        <f>IFERROR(__xludf.DUMMYFUNCTION("IF(OR(AND(C814&lt;&gt;"""", LEN(C814)&lt;3), LEN(C814)&gt;60, AND(D814&lt;&gt;"""", NOT(ISNUMBER(D814))), AND(ISNUMBER(D814), OR(D814&lt;0.01, D814&gt;999999999)), AND(COUNTA(D814:F814, H814:N814)&gt;0, C814=""""),                  
  AND(COUNTA(C814, H814:N814)&gt;0, D814=""""), LEN("&amp;"H814)&gt;50, AND(I814&lt;&gt;"""", NOT(ISNUMBER(I814))), AND(ISNUMBER(I814), OR(I814&lt;0, I814&gt;99998)), AND(L814&lt;&gt;"""", NOT(REGEXMATCH(L814&amp;"""", ""^\d{8,14}$"")))), ""Erro"", """")"),"")</f>
      </c>
    </row>
    <row r="815" ht="15.75" customHeight="true">
      <c r="A815" s="33"/>
      <c r="B815" s="34" t="str">
        <f t="shared" si="1"/>
      </c>
      <c r="C815" s="35"/>
      <c r="D815" s="36"/>
      <c r="E815" s="37"/>
      <c r="F815" s="38"/>
      <c r="G815" s="39" t="str">
        <f t="shared" si="2"/>
      </c>
      <c r="H815" s="40"/>
      <c r="I815" s="41"/>
      <c r="J815" s="41"/>
      <c r="K815" s="41"/>
      <c r="L815" s="42"/>
      <c r="M815" s="43"/>
      <c r="N815" s="44"/>
      <c r="O815" s="45"/>
      <c r="P815" s="46" t="str">
        <f>IFERROR(__xludf.DUMMYFUNCTION("IF(OR(AND(C815&lt;&gt;"""", LEN(C815)&lt;3), LEN(C815)&gt;60, AND(D815&lt;&gt;"""", NOT(ISNUMBER(D815))), AND(ISNUMBER(D815), OR(D815&lt;0.01, D815&gt;999999999)), AND(COUNTA(D815:F815, H815:N815)&gt;0, C815=""""),                  
  AND(COUNTA(C815, H815:N815)&gt;0, D815=""""), LEN("&amp;"H815)&gt;50, AND(I815&lt;&gt;"""", NOT(ISNUMBER(I815))), AND(ISNUMBER(I815), OR(I815&lt;0, I815&gt;99998)), AND(L815&lt;&gt;"""", NOT(REGEXMATCH(L815&amp;"""", ""^\d{8,14}$"")))), ""Erro"", """")"),"")</f>
      </c>
    </row>
    <row r="816" ht="15.75" customHeight="true">
      <c r="A816" s="33"/>
      <c r="B816" s="34" t="str">
        <f t="shared" si="1"/>
      </c>
      <c r="C816" s="35"/>
      <c r="D816" s="36"/>
      <c r="E816" s="37"/>
      <c r="F816" s="38"/>
      <c r="G816" s="39" t="str">
        <f t="shared" si="2"/>
      </c>
      <c r="H816" s="40"/>
      <c r="I816" s="41"/>
      <c r="J816" s="41"/>
      <c r="K816" s="41"/>
      <c r="L816" s="42"/>
      <c r="M816" s="43"/>
      <c r="N816" s="44"/>
      <c r="O816" s="45"/>
      <c r="P816" s="46" t="str">
        <f>IFERROR(__xludf.DUMMYFUNCTION("IF(OR(AND(C816&lt;&gt;"""", LEN(C816)&lt;3), LEN(C816)&gt;60, AND(D816&lt;&gt;"""", NOT(ISNUMBER(D816))), AND(ISNUMBER(D816), OR(D816&lt;0.01, D816&gt;999999999)), AND(COUNTA(D816:F816, H816:N816)&gt;0, C816=""""),                  
  AND(COUNTA(C816, H816:N816)&gt;0, D816=""""), LEN("&amp;"H816)&gt;50, AND(I816&lt;&gt;"""", NOT(ISNUMBER(I816))), AND(ISNUMBER(I816), OR(I816&lt;0, I816&gt;99998)), AND(L816&lt;&gt;"""", NOT(REGEXMATCH(L816&amp;"""", ""^\d{8,14}$"")))), ""Erro"", """")"),"")</f>
      </c>
    </row>
    <row r="817" ht="15.75" customHeight="true">
      <c r="A817" s="33"/>
      <c r="B817" s="34" t="str">
        <f t="shared" si="1"/>
      </c>
      <c r="C817" s="35"/>
      <c r="D817" s="36"/>
      <c r="E817" s="37"/>
      <c r="F817" s="38"/>
      <c r="G817" s="39" t="str">
        <f t="shared" si="2"/>
      </c>
      <c r="H817" s="40"/>
      <c r="I817" s="41"/>
      <c r="J817" s="41"/>
      <c r="K817" s="41"/>
      <c r="L817" s="42"/>
      <c r="M817" s="43"/>
      <c r="N817" s="44"/>
      <c r="O817" s="45"/>
      <c r="P817" s="46" t="str">
        <f>IFERROR(__xludf.DUMMYFUNCTION("IF(OR(AND(C817&lt;&gt;"""", LEN(C817)&lt;3), LEN(C817)&gt;60, AND(D817&lt;&gt;"""", NOT(ISNUMBER(D817))), AND(ISNUMBER(D817), OR(D817&lt;0.01, D817&gt;999999999)), AND(COUNTA(D817:F817, H817:N817)&gt;0, C817=""""),                  
  AND(COUNTA(C817, H817:N817)&gt;0, D817=""""), LEN("&amp;"H817)&gt;50, AND(I817&lt;&gt;"""", NOT(ISNUMBER(I817))), AND(ISNUMBER(I817), OR(I817&lt;0, I817&gt;99998)), AND(L817&lt;&gt;"""", NOT(REGEXMATCH(L817&amp;"""", ""^\d{8,14}$"")))), ""Erro"", """")"),"")</f>
      </c>
    </row>
    <row r="818" ht="15.75" customHeight="true">
      <c r="A818" s="33"/>
      <c r="B818" s="34" t="str">
        <f t="shared" si="1"/>
      </c>
      <c r="C818" s="35"/>
      <c r="D818" s="36"/>
      <c r="E818" s="37"/>
      <c r="F818" s="38"/>
      <c r="G818" s="39" t="str">
        <f t="shared" si="2"/>
      </c>
      <c r="H818" s="40"/>
      <c r="I818" s="41"/>
      <c r="J818" s="41"/>
      <c r="K818" s="41"/>
      <c r="L818" s="42"/>
      <c r="M818" s="43"/>
      <c r="N818" s="44"/>
      <c r="O818" s="45"/>
      <c r="P818" s="46" t="str">
        <f>IFERROR(__xludf.DUMMYFUNCTION("IF(OR(AND(C818&lt;&gt;"""", LEN(C818)&lt;3), LEN(C818)&gt;60, AND(D818&lt;&gt;"""", NOT(ISNUMBER(D818))), AND(ISNUMBER(D818), OR(D818&lt;0.01, D818&gt;999999999)), AND(COUNTA(D818:F818, H818:N818)&gt;0, C818=""""),                  
  AND(COUNTA(C818, H818:N818)&gt;0, D818=""""), LEN("&amp;"H818)&gt;50, AND(I818&lt;&gt;"""", NOT(ISNUMBER(I818))), AND(ISNUMBER(I818), OR(I818&lt;0, I818&gt;99998)), AND(L818&lt;&gt;"""", NOT(REGEXMATCH(L818&amp;"""", ""^\d{8,14}$"")))), ""Erro"", """")"),"")</f>
      </c>
    </row>
    <row r="819" ht="15.75" customHeight="true">
      <c r="A819" s="33"/>
      <c r="B819" s="34" t="str">
        <f t="shared" si="1"/>
      </c>
      <c r="C819" s="35"/>
      <c r="D819" s="36"/>
      <c r="E819" s="37"/>
      <c r="F819" s="38"/>
      <c r="G819" s="39" t="str">
        <f t="shared" si="2"/>
      </c>
      <c r="H819" s="40"/>
      <c r="I819" s="41"/>
      <c r="J819" s="41"/>
      <c r="K819" s="41"/>
      <c r="L819" s="42"/>
      <c r="M819" s="43"/>
      <c r="N819" s="44"/>
      <c r="O819" s="45"/>
      <c r="P819" s="46" t="str">
        <f>IFERROR(__xludf.DUMMYFUNCTION("IF(OR(AND(C819&lt;&gt;"""", LEN(C819)&lt;3), LEN(C819)&gt;60, AND(D819&lt;&gt;"""", NOT(ISNUMBER(D819))), AND(ISNUMBER(D819), OR(D819&lt;0.01, D819&gt;999999999)), AND(COUNTA(D819:F819, H819:N819)&gt;0, C819=""""),                  
  AND(COUNTA(C819, H819:N819)&gt;0, D819=""""), LEN("&amp;"H819)&gt;50, AND(I819&lt;&gt;"""", NOT(ISNUMBER(I819))), AND(ISNUMBER(I819), OR(I819&lt;0, I819&gt;99998)), AND(L819&lt;&gt;"""", NOT(REGEXMATCH(L819&amp;"""", ""^\d{8,14}$"")))), ""Erro"", """")"),"")</f>
      </c>
    </row>
    <row r="820" ht="15.75" customHeight="true">
      <c r="A820" s="33"/>
      <c r="B820" s="34" t="str">
        <f t="shared" si="1"/>
      </c>
      <c r="C820" s="35"/>
      <c r="D820" s="36"/>
      <c r="E820" s="37"/>
      <c r="F820" s="38"/>
      <c r="G820" s="39" t="str">
        <f t="shared" si="2"/>
      </c>
      <c r="H820" s="40"/>
      <c r="I820" s="41"/>
      <c r="J820" s="41"/>
      <c r="K820" s="41"/>
      <c r="L820" s="42"/>
      <c r="M820" s="43"/>
      <c r="N820" s="44"/>
      <c r="O820" s="45"/>
      <c r="P820" s="46" t="str">
        <f>IFERROR(__xludf.DUMMYFUNCTION("IF(OR(AND(C820&lt;&gt;"""", LEN(C820)&lt;3), LEN(C820)&gt;60, AND(D820&lt;&gt;"""", NOT(ISNUMBER(D820))), AND(ISNUMBER(D820), OR(D820&lt;0.01, D820&gt;999999999)), AND(COUNTA(D820:F820, H820:N820)&gt;0, C820=""""),                  
  AND(COUNTA(C820, H820:N820)&gt;0, D820=""""), LEN("&amp;"H820)&gt;50, AND(I820&lt;&gt;"""", NOT(ISNUMBER(I820))), AND(ISNUMBER(I820), OR(I820&lt;0, I820&gt;99998)), AND(L820&lt;&gt;"""", NOT(REGEXMATCH(L820&amp;"""", ""^\d{8,14}$"")))), ""Erro"", """")"),"")</f>
      </c>
    </row>
    <row r="821" ht="15.75" customHeight="true">
      <c r="A821" s="33"/>
      <c r="B821" s="34" t="str">
        <f t="shared" si="1"/>
      </c>
      <c r="C821" s="35"/>
      <c r="D821" s="36"/>
      <c r="E821" s="37"/>
      <c r="F821" s="38"/>
      <c r="G821" s="39" t="str">
        <f t="shared" si="2"/>
      </c>
      <c r="H821" s="40"/>
      <c r="I821" s="41"/>
      <c r="J821" s="41"/>
      <c r="K821" s="41"/>
      <c r="L821" s="42"/>
      <c r="M821" s="43"/>
      <c r="N821" s="44"/>
      <c r="O821" s="45"/>
      <c r="P821" s="46" t="str">
        <f>IFERROR(__xludf.DUMMYFUNCTION("IF(OR(AND(C821&lt;&gt;"""", LEN(C821)&lt;3), LEN(C821)&gt;60, AND(D821&lt;&gt;"""", NOT(ISNUMBER(D821))), AND(ISNUMBER(D821), OR(D821&lt;0.01, D821&gt;999999999)), AND(COUNTA(D821:F821, H821:N821)&gt;0, C821=""""),                  
  AND(COUNTA(C821, H821:N821)&gt;0, D821=""""), LEN("&amp;"H821)&gt;50, AND(I821&lt;&gt;"""", NOT(ISNUMBER(I821))), AND(ISNUMBER(I821), OR(I821&lt;0, I821&gt;99998)), AND(L821&lt;&gt;"""", NOT(REGEXMATCH(L821&amp;"""", ""^\d{8,14}$"")))), ""Erro"", """")"),"")</f>
      </c>
    </row>
    <row r="822" ht="15.75" customHeight="true">
      <c r="A822" s="33"/>
      <c r="B822" s="34" t="str">
        <f t="shared" si="1"/>
      </c>
      <c r="C822" s="35"/>
      <c r="D822" s="36"/>
      <c r="E822" s="37"/>
      <c r="F822" s="38"/>
      <c r="G822" s="39" t="str">
        <f t="shared" si="2"/>
      </c>
      <c r="H822" s="40"/>
      <c r="I822" s="41"/>
      <c r="J822" s="41"/>
      <c r="K822" s="41"/>
      <c r="L822" s="42"/>
      <c r="M822" s="43"/>
      <c r="N822" s="44"/>
      <c r="O822" s="45"/>
      <c r="P822" s="46" t="str">
        <f>IFERROR(__xludf.DUMMYFUNCTION("IF(OR(AND(C822&lt;&gt;"""", LEN(C822)&lt;3), LEN(C822)&gt;60, AND(D822&lt;&gt;"""", NOT(ISNUMBER(D822))), AND(ISNUMBER(D822), OR(D822&lt;0.01, D822&gt;999999999)), AND(COUNTA(D822:F822, H822:N822)&gt;0, C822=""""),                  
  AND(COUNTA(C822, H822:N822)&gt;0, D822=""""), LEN("&amp;"H822)&gt;50, AND(I822&lt;&gt;"""", NOT(ISNUMBER(I822))), AND(ISNUMBER(I822), OR(I822&lt;0, I822&gt;99998)), AND(L822&lt;&gt;"""", NOT(REGEXMATCH(L822&amp;"""", ""^\d{8,14}$"")))), ""Erro"", """")"),"")</f>
      </c>
    </row>
    <row r="823" ht="15.75" customHeight="true">
      <c r="A823" s="33"/>
      <c r="B823" s="34" t="str">
        <f t="shared" si="1"/>
      </c>
      <c r="C823" s="35"/>
      <c r="D823" s="36"/>
      <c r="E823" s="37"/>
      <c r="F823" s="38"/>
      <c r="G823" s="39" t="str">
        <f t="shared" si="2"/>
      </c>
      <c r="H823" s="40"/>
      <c r="I823" s="41"/>
      <c r="J823" s="41"/>
      <c r="K823" s="41"/>
      <c r="L823" s="42"/>
      <c r="M823" s="43"/>
      <c r="N823" s="44"/>
      <c r="O823" s="45"/>
      <c r="P823" s="46" t="str">
        <f>IFERROR(__xludf.DUMMYFUNCTION("IF(OR(AND(C823&lt;&gt;"""", LEN(C823)&lt;3), LEN(C823)&gt;60, AND(D823&lt;&gt;"""", NOT(ISNUMBER(D823))), AND(ISNUMBER(D823), OR(D823&lt;0.01, D823&gt;999999999)), AND(COUNTA(D823:F823, H823:N823)&gt;0, C823=""""),                  
  AND(COUNTA(C823, H823:N823)&gt;0, D823=""""), LEN("&amp;"H823)&gt;50, AND(I823&lt;&gt;"""", NOT(ISNUMBER(I823))), AND(ISNUMBER(I823), OR(I823&lt;0, I823&gt;99998)), AND(L823&lt;&gt;"""", NOT(REGEXMATCH(L823&amp;"""", ""^\d{8,14}$"")))), ""Erro"", """")"),"")</f>
      </c>
    </row>
    <row r="824" ht="15.75" customHeight="true">
      <c r="A824" s="33"/>
      <c r="B824" s="34" t="str">
        <f t="shared" si="1"/>
      </c>
      <c r="C824" s="35"/>
      <c r="D824" s="36"/>
      <c r="E824" s="37"/>
      <c r="F824" s="38"/>
      <c r="G824" s="39" t="str">
        <f t="shared" si="2"/>
      </c>
      <c r="H824" s="40"/>
      <c r="I824" s="41"/>
      <c r="J824" s="41"/>
      <c r="K824" s="41"/>
      <c r="L824" s="42"/>
      <c r="M824" s="43"/>
      <c r="N824" s="44"/>
      <c r="O824" s="45"/>
      <c r="P824" s="46" t="str">
        <f>IFERROR(__xludf.DUMMYFUNCTION("IF(OR(AND(C824&lt;&gt;"""", LEN(C824)&lt;3), LEN(C824)&gt;60, AND(D824&lt;&gt;"""", NOT(ISNUMBER(D824))), AND(ISNUMBER(D824), OR(D824&lt;0.01, D824&gt;999999999)), AND(COUNTA(D824:F824, H824:N824)&gt;0, C824=""""),                  
  AND(COUNTA(C824, H824:N824)&gt;0, D824=""""), LEN("&amp;"H824)&gt;50, AND(I824&lt;&gt;"""", NOT(ISNUMBER(I824))), AND(ISNUMBER(I824), OR(I824&lt;0, I824&gt;99998)), AND(L824&lt;&gt;"""", NOT(REGEXMATCH(L824&amp;"""", ""^\d{8,14}$"")))), ""Erro"", """")"),"")</f>
      </c>
    </row>
    <row r="825" ht="15.75" customHeight="true">
      <c r="A825" s="33"/>
      <c r="B825" s="34" t="str">
        <f t="shared" si="1"/>
      </c>
      <c r="C825" s="35"/>
      <c r="D825" s="36"/>
      <c r="E825" s="37"/>
      <c r="F825" s="38"/>
      <c r="G825" s="39" t="str">
        <f t="shared" si="2"/>
      </c>
      <c r="H825" s="40"/>
      <c r="I825" s="41"/>
      <c r="J825" s="41"/>
      <c r="K825" s="41"/>
      <c r="L825" s="42"/>
      <c r="M825" s="43"/>
      <c r="N825" s="44"/>
      <c r="O825" s="45"/>
      <c r="P825" s="46" t="str">
        <f>IFERROR(__xludf.DUMMYFUNCTION("IF(OR(AND(C825&lt;&gt;"""", LEN(C825)&lt;3), LEN(C825)&gt;60, AND(D825&lt;&gt;"""", NOT(ISNUMBER(D825))), AND(ISNUMBER(D825), OR(D825&lt;0.01, D825&gt;999999999)), AND(COUNTA(D825:F825, H825:N825)&gt;0, C825=""""),                  
  AND(COUNTA(C825, H825:N825)&gt;0, D825=""""), LEN("&amp;"H825)&gt;50, AND(I825&lt;&gt;"""", NOT(ISNUMBER(I825))), AND(ISNUMBER(I825), OR(I825&lt;0, I825&gt;99998)), AND(L825&lt;&gt;"""", NOT(REGEXMATCH(L825&amp;"""", ""^\d{8,14}$"")))), ""Erro"", """")"),"")</f>
      </c>
    </row>
    <row r="826" ht="15.75" customHeight="true">
      <c r="A826" s="33"/>
      <c r="B826" s="34" t="str">
        <f t="shared" si="1"/>
      </c>
      <c r="C826" s="35"/>
      <c r="D826" s="36"/>
      <c r="E826" s="37"/>
      <c r="F826" s="38"/>
      <c r="G826" s="39" t="str">
        <f t="shared" si="2"/>
      </c>
      <c r="H826" s="40"/>
      <c r="I826" s="41"/>
      <c r="J826" s="41"/>
      <c r="K826" s="41"/>
      <c r="L826" s="42"/>
      <c r="M826" s="43"/>
      <c r="N826" s="44"/>
      <c r="O826" s="45"/>
      <c r="P826" s="46" t="str">
        <f>IFERROR(__xludf.DUMMYFUNCTION("IF(OR(AND(C826&lt;&gt;"""", LEN(C826)&lt;3), LEN(C826)&gt;60, AND(D826&lt;&gt;"""", NOT(ISNUMBER(D826))), AND(ISNUMBER(D826), OR(D826&lt;0.01, D826&gt;999999999)), AND(COUNTA(D826:F826, H826:N826)&gt;0, C826=""""),                  
  AND(COUNTA(C826, H826:N826)&gt;0, D826=""""), LEN("&amp;"H826)&gt;50, AND(I826&lt;&gt;"""", NOT(ISNUMBER(I826))), AND(ISNUMBER(I826), OR(I826&lt;0, I826&gt;99998)), AND(L826&lt;&gt;"""", NOT(REGEXMATCH(L826&amp;"""", ""^\d{8,14}$"")))), ""Erro"", """")"),"")</f>
      </c>
    </row>
    <row r="827" ht="15.75" customHeight="true">
      <c r="A827" s="33"/>
      <c r="B827" s="34" t="str">
        <f t="shared" si="1"/>
      </c>
      <c r="C827" s="35"/>
      <c r="D827" s="36"/>
      <c r="E827" s="37"/>
      <c r="F827" s="38"/>
      <c r="G827" s="39" t="str">
        <f t="shared" si="2"/>
      </c>
      <c r="H827" s="40"/>
      <c r="I827" s="41"/>
      <c r="J827" s="41"/>
      <c r="K827" s="41"/>
      <c r="L827" s="42"/>
      <c r="M827" s="43"/>
      <c r="N827" s="44"/>
      <c r="O827" s="45"/>
      <c r="P827" s="46" t="str">
        <f>IFERROR(__xludf.DUMMYFUNCTION("IF(OR(AND(C827&lt;&gt;"""", LEN(C827)&lt;3), LEN(C827)&gt;60, AND(D827&lt;&gt;"""", NOT(ISNUMBER(D827))), AND(ISNUMBER(D827), OR(D827&lt;0.01, D827&gt;999999999)), AND(COUNTA(D827:F827, H827:N827)&gt;0, C827=""""),                  
  AND(COUNTA(C827, H827:N827)&gt;0, D827=""""), LEN("&amp;"H827)&gt;50, AND(I827&lt;&gt;"""", NOT(ISNUMBER(I827))), AND(ISNUMBER(I827), OR(I827&lt;0, I827&gt;99998)), AND(L827&lt;&gt;"""", NOT(REGEXMATCH(L827&amp;"""", ""^\d{8,14}$"")))), ""Erro"", """")"),"")</f>
      </c>
    </row>
    <row r="828" ht="15.75" customHeight="true">
      <c r="A828" s="33"/>
      <c r="B828" s="34" t="str">
        <f t="shared" si="1"/>
      </c>
      <c r="C828" s="35"/>
      <c r="D828" s="36"/>
      <c r="E828" s="37"/>
      <c r="F828" s="38"/>
      <c r="G828" s="39" t="str">
        <f t="shared" si="2"/>
      </c>
      <c r="H828" s="40"/>
      <c r="I828" s="41"/>
      <c r="J828" s="41"/>
      <c r="K828" s="41"/>
      <c r="L828" s="42"/>
      <c r="M828" s="43"/>
      <c r="N828" s="44"/>
      <c r="O828" s="45"/>
      <c r="P828" s="46" t="str">
        <f>IFERROR(__xludf.DUMMYFUNCTION("IF(OR(AND(C828&lt;&gt;"""", LEN(C828)&lt;3), LEN(C828)&gt;60, AND(D828&lt;&gt;"""", NOT(ISNUMBER(D828))), AND(ISNUMBER(D828), OR(D828&lt;0.01, D828&gt;999999999)), AND(COUNTA(D828:F828, H828:N828)&gt;0, C828=""""),                  
  AND(COUNTA(C828, H828:N828)&gt;0, D828=""""), LEN("&amp;"H828)&gt;50, AND(I828&lt;&gt;"""", NOT(ISNUMBER(I828))), AND(ISNUMBER(I828), OR(I828&lt;0, I828&gt;99998)), AND(L828&lt;&gt;"""", NOT(REGEXMATCH(L828&amp;"""", ""^\d{8,14}$"")))), ""Erro"", """")"),"")</f>
      </c>
    </row>
    <row r="829" ht="15.75" customHeight="true">
      <c r="A829" s="33"/>
      <c r="B829" s="34" t="str">
        <f t="shared" si="1"/>
      </c>
      <c r="C829" s="35"/>
      <c r="D829" s="36"/>
      <c r="E829" s="37"/>
      <c r="F829" s="38"/>
      <c r="G829" s="39" t="str">
        <f t="shared" si="2"/>
      </c>
      <c r="H829" s="40"/>
      <c r="I829" s="41"/>
      <c r="J829" s="41"/>
      <c r="K829" s="41"/>
      <c r="L829" s="42"/>
      <c r="M829" s="43"/>
      <c r="N829" s="44"/>
      <c r="O829" s="45"/>
      <c r="P829" s="46" t="str">
        <f>IFERROR(__xludf.DUMMYFUNCTION("IF(OR(AND(C829&lt;&gt;"""", LEN(C829)&lt;3), LEN(C829)&gt;60, AND(D829&lt;&gt;"""", NOT(ISNUMBER(D829))), AND(ISNUMBER(D829), OR(D829&lt;0.01, D829&gt;999999999)), AND(COUNTA(D829:F829, H829:N829)&gt;0, C829=""""),                  
  AND(COUNTA(C829, H829:N829)&gt;0, D829=""""), LEN("&amp;"H829)&gt;50, AND(I829&lt;&gt;"""", NOT(ISNUMBER(I829))), AND(ISNUMBER(I829), OR(I829&lt;0, I829&gt;99998)), AND(L829&lt;&gt;"""", NOT(REGEXMATCH(L829&amp;"""", ""^\d{8,14}$"")))), ""Erro"", """")"),"")</f>
      </c>
    </row>
    <row r="830" ht="15.75" customHeight="true">
      <c r="A830" s="33"/>
      <c r="B830" s="34" t="str">
        <f t="shared" si="1"/>
      </c>
      <c r="C830" s="35"/>
      <c r="D830" s="36"/>
      <c r="E830" s="37"/>
      <c r="F830" s="38"/>
      <c r="G830" s="39" t="str">
        <f t="shared" si="2"/>
      </c>
      <c r="H830" s="40"/>
      <c r="I830" s="41"/>
      <c r="J830" s="41"/>
      <c r="K830" s="41"/>
      <c r="L830" s="42"/>
      <c r="M830" s="43"/>
      <c r="N830" s="44"/>
      <c r="O830" s="45"/>
      <c r="P830" s="46" t="str">
        <f>IFERROR(__xludf.DUMMYFUNCTION("IF(OR(AND(C830&lt;&gt;"""", LEN(C830)&lt;3), LEN(C830)&gt;60, AND(D830&lt;&gt;"""", NOT(ISNUMBER(D830))), AND(ISNUMBER(D830), OR(D830&lt;0.01, D830&gt;999999999)), AND(COUNTA(D830:F830, H830:N830)&gt;0, C830=""""),                  
  AND(COUNTA(C830, H830:N830)&gt;0, D830=""""), LEN("&amp;"H830)&gt;50, AND(I830&lt;&gt;"""", NOT(ISNUMBER(I830))), AND(ISNUMBER(I830), OR(I830&lt;0, I830&gt;99998)), AND(L830&lt;&gt;"""", NOT(REGEXMATCH(L830&amp;"""", ""^\d{8,14}$"")))), ""Erro"", """")"),"")</f>
      </c>
    </row>
    <row r="831" ht="15.75" customHeight="true">
      <c r="A831" s="33"/>
      <c r="B831" s="34" t="str">
        <f t="shared" si="1"/>
      </c>
      <c r="C831" s="35"/>
      <c r="D831" s="36"/>
      <c r="E831" s="37"/>
      <c r="F831" s="38"/>
      <c r="G831" s="39" t="str">
        <f t="shared" si="2"/>
      </c>
      <c r="H831" s="40"/>
      <c r="I831" s="41"/>
      <c r="J831" s="41"/>
      <c r="K831" s="41"/>
      <c r="L831" s="42"/>
      <c r="M831" s="43"/>
      <c r="N831" s="44"/>
      <c r="O831" s="45"/>
      <c r="P831" s="46" t="str">
        <f>IFERROR(__xludf.DUMMYFUNCTION("IF(OR(AND(C831&lt;&gt;"""", LEN(C831)&lt;3), LEN(C831)&gt;60, AND(D831&lt;&gt;"""", NOT(ISNUMBER(D831))), AND(ISNUMBER(D831), OR(D831&lt;0.01, D831&gt;999999999)), AND(COUNTA(D831:F831, H831:N831)&gt;0, C831=""""),                  
  AND(COUNTA(C831, H831:N831)&gt;0, D831=""""), LEN("&amp;"H831)&gt;50, AND(I831&lt;&gt;"""", NOT(ISNUMBER(I831))), AND(ISNUMBER(I831), OR(I831&lt;0, I831&gt;99998)), AND(L831&lt;&gt;"""", NOT(REGEXMATCH(L831&amp;"""", ""^\d{8,14}$"")))), ""Erro"", """")"),"")</f>
      </c>
    </row>
    <row r="832" ht="15.75" customHeight="true">
      <c r="A832" s="33"/>
      <c r="B832" s="34" t="str">
        <f t="shared" si="1"/>
      </c>
      <c r="C832" s="35"/>
      <c r="D832" s="36"/>
      <c r="E832" s="37"/>
      <c r="F832" s="38"/>
      <c r="G832" s="39" t="str">
        <f t="shared" si="2"/>
      </c>
      <c r="H832" s="40"/>
      <c r="I832" s="41"/>
      <c r="J832" s="41"/>
      <c r="K832" s="41"/>
      <c r="L832" s="42"/>
      <c r="M832" s="43"/>
      <c r="N832" s="44"/>
      <c r="O832" s="45"/>
      <c r="P832" s="46" t="str">
        <f>IFERROR(__xludf.DUMMYFUNCTION("IF(OR(AND(C832&lt;&gt;"""", LEN(C832)&lt;3), LEN(C832)&gt;60, AND(D832&lt;&gt;"""", NOT(ISNUMBER(D832))), AND(ISNUMBER(D832), OR(D832&lt;0.01, D832&gt;999999999)), AND(COUNTA(D832:F832, H832:N832)&gt;0, C832=""""),                  
  AND(COUNTA(C832, H832:N832)&gt;0, D832=""""), LEN("&amp;"H832)&gt;50, AND(I832&lt;&gt;"""", NOT(ISNUMBER(I832))), AND(ISNUMBER(I832), OR(I832&lt;0, I832&gt;99998)), AND(L832&lt;&gt;"""", NOT(REGEXMATCH(L832&amp;"""", ""^\d{8,14}$"")))), ""Erro"", """")"),"")</f>
      </c>
    </row>
    <row r="833" ht="15.75" customHeight="true">
      <c r="A833" s="33"/>
      <c r="B833" s="34" t="str">
        <f t="shared" si="1"/>
      </c>
      <c r="C833" s="35"/>
      <c r="D833" s="36"/>
      <c r="E833" s="37"/>
      <c r="F833" s="38"/>
      <c r="G833" s="39" t="str">
        <f t="shared" si="2"/>
      </c>
      <c r="H833" s="40"/>
      <c r="I833" s="41"/>
      <c r="J833" s="41"/>
      <c r="K833" s="41"/>
      <c r="L833" s="42"/>
      <c r="M833" s="43"/>
      <c r="N833" s="44"/>
      <c r="O833" s="45"/>
      <c r="P833" s="46" t="str">
        <f>IFERROR(__xludf.DUMMYFUNCTION("IF(OR(AND(C833&lt;&gt;"""", LEN(C833)&lt;3), LEN(C833)&gt;60, AND(D833&lt;&gt;"""", NOT(ISNUMBER(D833))), AND(ISNUMBER(D833), OR(D833&lt;0.01, D833&gt;999999999)), AND(COUNTA(D833:F833, H833:N833)&gt;0, C833=""""),                  
  AND(COUNTA(C833, H833:N833)&gt;0, D833=""""), LEN("&amp;"H833)&gt;50, AND(I833&lt;&gt;"""", NOT(ISNUMBER(I833))), AND(ISNUMBER(I833), OR(I833&lt;0, I833&gt;99998)), AND(L833&lt;&gt;"""", NOT(REGEXMATCH(L833&amp;"""", ""^\d{8,14}$"")))), ""Erro"", """")"),"")</f>
      </c>
    </row>
    <row r="834" ht="15.75" customHeight="true">
      <c r="A834" s="33"/>
      <c r="B834" s="34" t="str">
        <f t="shared" si="1"/>
      </c>
      <c r="C834" s="35"/>
      <c r="D834" s="36"/>
      <c r="E834" s="37"/>
      <c r="F834" s="38"/>
      <c r="G834" s="39" t="str">
        <f t="shared" si="2"/>
      </c>
      <c r="H834" s="40"/>
      <c r="I834" s="41"/>
      <c r="J834" s="41"/>
      <c r="K834" s="41"/>
      <c r="L834" s="42"/>
      <c r="M834" s="43"/>
      <c r="N834" s="44"/>
      <c r="O834" s="45"/>
      <c r="P834" s="46" t="str">
        <f>IFERROR(__xludf.DUMMYFUNCTION("IF(OR(AND(C834&lt;&gt;"""", LEN(C834)&lt;3), LEN(C834)&gt;60, AND(D834&lt;&gt;"""", NOT(ISNUMBER(D834))), AND(ISNUMBER(D834), OR(D834&lt;0.01, D834&gt;999999999)), AND(COUNTA(D834:F834, H834:N834)&gt;0, C834=""""),                  
  AND(COUNTA(C834, H834:N834)&gt;0, D834=""""), LEN("&amp;"H834)&gt;50, AND(I834&lt;&gt;"""", NOT(ISNUMBER(I834))), AND(ISNUMBER(I834), OR(I834&lt;0, I834&gt;99998)), AND(L834&lt;&gt;"""", NOT(REGEXMATCH(L834&amp;"""", ""^\d{8,14}$"")))), ""Erro"", """")"),"")</f>
      </c>
    </row>
    <row r="835" ht="15.75" customHeight="true">
      <c r="A835" s="33"/>
      <c r="B835" s="34" t="str">
        <f t="shared" si="1"/>
      </c>
      <c r="C835" s="35"/>
      <c r="D835" s="36"/>
      <c r="E835" s="37"/>
      <c r="F835" s="38"/>
      <c r="G835" s="39" t="str">
        <f t="shared" si="2"/>
      </c>
      <c r="H835" s="40"/>
      <c r="I835" s="41"/>
      <c r="J835" s="41"/>
      <c r="K835" s="41"/>
      <c r="L835" s="42"/>
      <c r="M835" s="43"/>
      <c r="N835" s="44"/>
      <c r="O835" s="45"/>
      <c r="P835" s="46" t="str">
        <f>IFERROR(__xludf.DUMMYFUNCTION("IF(OR(AND(C835&lt;&gt;"""", LEN(C835)&lt;3), LEN(C835)&gt;60, AND(D835&lt;&gt;"""", NOT(ISNUMBER(D835))), AND(ISNUMBER(D835), OR(D835&lt;0.01, D835&gt;999999999)), AND(COUNTA(D835:F835, H835:N835)&gt;0, C835=""""),                  
  AND(COUNTA(C835, H835:N835)&gt;0, D835=""""), LEN("&amp;"H835)&gt;50, AND(I835&lt;&gt;"""", NOT(ISNUMBER(I835))), AND(ISNUMBER(I835), OR(I835&lt;0, I835&gt;99998)), AND(L835&lt;&gt;"""", NOT(REGEXMATCH(L835&amp;"""", ""^\d{8,14}$"")))), ""Erro"", """")"),"")</f>
      </c>
    </row>
    <row r="836" ht="15.75" customHeight="true">
      <c r="A836" s="33"/>
      <c r="B836" s="34" t="str">
        <f t="shared" si="1"/>
      </c>
      <c r="C836" s="35"/>
      <c r="D836" s="36"/>
      <c r="E836" s="37"/>
      <c r="F836" s="38"/>
      <c r="G836" s="39" t="str">
        <f t="shared" si="2"/>
      </c>
      <c r="H836" s="40"/>
      <c r="I836" s="41"/>
      <c r="J836" s="41"/>
      <c r="K836" s="41"/>
      <c r="L836" s="42"/>
      <c r="M836" s="43"/>
      <c r="N836" s="44"/>
      <c r="O836" s="45"/>
      <c r="P836" s="46" t="str">
        <f>IFERROR(__xludf.DUMMYFUNCTION("IF(OR(AND(C836&lt;&gt;"""", LEN(C836)&lt;3), LEN(C836)&gt;60, AND(D836&lt;&gt;"""", NOT(ISNUMBER(D836))), AND(ISNUMBER(D836), OR(D836&lt;0.01, D836&gt;999999999)), AND(COUNTA(D836:F836, H836:N836)&gt;0, C836=""""),                  
  AND(COUNTA(C836, H836:N836)&gt;0, D836=""""), LEN("&amp;"H836)&gt;50, AND(I836&lt;&gt;"""", NOT(ISNUMBER(I836))), AND(ISNUMBER(I836), OR(I836&lt;0, I836&gt;99998)), AND(L836&lt;&gt;"""", NOT(REGEXMATCH(L836&amp;"""", ""^\d{8,14}$"")))), ""Erro"", """")"),"")</f>
      </c>
    </row>
    <row r="837" ht="15.75" customHeight="true">
      <c r="A837" s="33"/>
      <c r="B837" s="34" t="str">
        <f t="shared" si="1"/>
      </c>
      <c r="C837" s="35"/>
      <c r="D837" s="36"/>
      <c r="E837" s="37"/>
      <c r="F837" s="38"/>
      <c r="G837" s="39" t="str">
        <f t="shared" si="2"/>
      </c>
      <c r="H837" s="40"/>
      <c r="I837" s="41"/>
      <c r="J837" s="41"/>
      <c r="K837" s="41"/>
      <c r="L837" s="42"/>
      <c r="M837" s="43"/>
      <c r="N837" s="44"/>
      <c r="O837" s="45"/>
      <c r="P837" s="46" t="str">
        <f>IFERROR(__xludf.DUMMYFUNCTION("IF(OR(AND(C837&lt;&gt;"""", LEN(C837)&lt;3), LEN(C837)&gt;60, AND(D837&lt;&gt;"""", NOT(ISNUMBER(D837))), AND(ISNUMBER(D837), OR(D837&lt;0.01, D837&gt;999999999)), AND(COUNTA(D837:F837, H837:N837)&gt;0, C837=""""),                  
  AND(COUNTA(C837, H837:N837)&gt;0, D837=""""), LEN("&amp;"H837)&gt;50, AND(I837&lt;&gt;"""", NOT(ISNUMBER(I837))), AND(ISNUMBER(I837), OR(I837&lt;0, I837&gt;99998)), AND(L837&lt;&gt;"""", NOT(REGEXMATCH(L837&amp;"""", ""^\d{8,14}$"")))), ""Erro"", """")"),"")</f>
      </c>
    </row>
    <row r="838" ht="15.75" customHeight="true">
      <c r="A838" s="33"/>
      <c r="B838" s="34" t="str">
        <f t="shared" si="1"/>
      </c>
      <c r="C838" s="35"/>
      <c r="D838" s="36"/>
      <c r="E838" s="37"/>
      <c r="F838" s="38"/>
      <c r="G838" s="39" t="str">
        <f t="shared" si="2"/>
      </c>
      <c r="H838" s="40"/>
      <c r="I838" s="41"/>
      <c r="J838" s="41"/>
      <c r="K838" s="41"/>
      <c r="L838" s="42"/>
      <c r="M838" s="43"/>
      <c r="N838" s="44"/>
      <c r="O838" s="45"/>
      <c r="P838" s="46" t="str">
        <f>IFERROR(__xludf.DUMMYFUNCTION("IF(OR(AND(C838&lt;&gt;"""", LEN(C838)&lt;3), LEN(C838)&gt;60, AND(D838&lt;&gt;"""", NOT(ISNUMBER(D838))), AND(ISNUMBER(D838), OR(D838&lt;0.01, D838&gt;999999999)), AND(COUNTA(D838:F838, H838:N838)&gt;0, C838=""""),                  
  AND(COUNTA(C838, H838:N838)&gt;0, D838=""""), LEN("&amp;"H838)&gt;50, AND(I838&lt;&gt;"""", NOT(ISNUMBER(I838))), AND(ISNUMBER(I838), OR(I838&lt;0, I838&gt;99998)), AND(L838&lt;&gt;"""", NOT(REGEXMATCH(L838&amp;"""", ""^\d{8,14}$"")))), ""Erro"", """")"),"")</f>
      </c>
    </row>
    <row r="839" ht="15.75" customHeight="true">
      <c r="A839" s="33"/>
      <c r="B839" s="34" t="str">
        <f t="shared" si="1"/>
      </c>
      <c r="C839" s="35"/>
      <c r="D839" s="36"/>
      <c r="E839" s="37"/>
      <c r="F839" s="38"/>
      <c r="G839" s="39" t="str">
        <f t="shared" si="2"/>
      </c>
      <c r="H839" s="40"/>
      <c r="I839" s="41"/>
      <c r="J839" s="41"/>
      <c r="K839" s="41"/>
      <c r="L839" s="42"/>
      <c r="M839" s="43"/>
      <c r="N839" s="44"/>
      <c r="O839" s="45"/>
      <c r="P839" s="46" t="str">
        <f>IFERROR(__xludf.DUMMYFUNCTION("IF(OR(AND(C839&lt;&gt;"""", LEN(C839)&lt;3), LEN(C839)&gt;60, AND(D839&lt;&gt;"""", NOT(ISNUMBER(D839))), AND(ISNUMBER(D839), OR(D839&lt;0.01, D839&gt;999999999)), AND(COUNTA(D839:F839, H839:N839)&gt;0, C839=""""),                  
  AND(COUNTA(C839, H839:N839)&gt;0, D839=""""), LEN("&amp;"H839)&gt;50, AND(I839&lt;&gt;"""", NOT(ISNUMBER(I839))), AND(ISNUMBER(I839), OR(I839&lt;0, I839&gt;99998)), AND(L839&lt;&gt;"""", NOT(REGEXMATCH(L839&amp;"""", ""^\d{8,14}$"")))), ""Erro"", """")"),"")</f>
      </c>
    </row>
    <row r="840" ht="15.75" customHeight="true">
      <c r="A840" s="33"/>
      <c r="B840" s="34" t="str">
        <f t="shared" si="1"/>
      </c>
      <c r="C840" s="35"/>
      <c r="D840" s="36"/>
      <c r="E840" s="37"/>
      <c r="F840" s="38"/>
      <c r="G840" s="39" t="str">
        <f t="shared" si="2"/>
      </c>
      <c r="H840" s="40"/>
      <c r="I840" s="41"/>
      <c r="J840" s="41"/>
      <c r="K840" s="41"/>
      <c r="L840" s="42"/>
      <c r="M840" s="43"/>
      <c r="N840" s="44"/>
      <c r="O840" s="45"/>
      <c r="P840" s="46" t="str">
        <f>IFERROR(__xludf.DUMMYFUNCTION("IF(OR(AND(C840&lt;&gt;"""", LEN(C840)&lt;3), LEN(C840)&gt;60, AND(D840&lt;&gt;"""", NOT(ISNUMBER(D840))), AND(ISNUMBER(D840), OR(D840&lt;0.01, D840&gt;999999999)), AND(COUNTA(D840:F840, H840:N840)&gt;0, C840=""""),                  
  AND(COUNTA(C840, H840:N840)&gt;0, D840=""""), LEN("&amp;"H840)&gt;50, AND(I840&lt;&gt;"""", NOT(ISNUMBER(I840))), AND(ISNUMBER(I840), OR(I840&lt;0, I840&gt;99998)), AND(L840&lt;&gt;"""", NOT(REGEXMATCH(L840&amp;"""", ""^\d{8,14}$"")))), ""Erro"", """")"),"")</f>
      </c>
    </row>
    <row r="841" ht="15.75" customHeight="true">
      <c r="A841" s="33"/>
      <c r="B841" s="34" t="str">
        <f t="shared" si="1"/>
      </c>
      <c r="C841" s="35"/>
      <c r="D841" s="36"/>
      <c r="E841" s="37"/>
      <c r="F841" s="38"/>
      <c r="G841" s="39" t="str">
        <f t="shared" si="2"/>
      </c>
      <c r="H841" s="40"/>
      <c r="I841" s="41"/>
      <c r="J841" s="41"/>
      <c r="K841" s="41"/>
      <c r="L841" s="42"/>
      <c r="M841" s="43"/>
      <c r="N841" s="44"/>
      <c r="O841" s="45"/>
      <c r="P841" s="46" t="str">
        <f>IFERROR(__xludf.DUMMYFUNCTION("IF(OR(AND(C841&lt;&gt;"""", LEN(C841)&lt;3), LEN(C841)&gt;60, AND(D841&lt;&gt;"""", NOT(ISNUMBER(D841))), AND(ISNUMBER(D841), OR(D841&lt;0.01, D841&gt;999999999)), AND(COUNTA(D841:F841, H841:N841)&gt;0, C841=""""),                  
  AND(COUNTA(C841, H841:N841)&gt;0, D841=""""), LEN("&amp;"H841)&gt;50, AND(I841&lt;&gt;"""", NOT(ISNUMBER(I841))), AND(ISNUMBER(I841), OR(I841&lt;0, I841&gt;99998)), AND(L841&lt;&gt;"""", NOT(REGEXMATCH(L841&amp;"""", ""^\d{8,14}$"")))), ""Erro"", """")"),"")</f>
      </c>
    </row>
    <row r="842" ht="15.75" customHeight="true">
      <c r="A842" s="33"/>
      <c r="B842" s="34" t="str">
        <f t="shared" si="1"/>
      </c>
      <c r="C842" s="35"/>
      <c r="D842" s="36"/>
      <c r="E842" s="37"/>
      <c r="F842" s="38"/>
      <c r="G842" s="39" t="str">
        <f t="shared" si="2"/>
      </c>
      <c r="H842" s="40"/>
      <c r="I842" s="41"/>
      <c r="J842" s="41"/>
      <c r="K842" s="41"/>
      <c r="L842" s="42"/>
      <c r="M842" s="43"/>
      <c r="N842" s="44"/>
      <c r="O842" s="45"/>
      <c r="P842" s="46" t="str">
        <f>IFERROR(__xludf.DUMMYFUNCTION("IF(OR(AND(C842&lt;&gt;"""", LEN(C842)&lt;3), LEN(C842)&gt;60, AND(D842&lt;&gt;"""", NOT(ISNUMBER(D842))), AND(ISNUMBER(D842), OR(D842&lt;0.01, D842&gt;999999999)), AND(COUNTA(D842:F842, H842:N842)&gt;0, C842=""""),                  
  AND(COUNTA(C842, H842:N842)&gt;0, D842=""""), LEN("&amp;"H842)&gt;50, AND(I842&lt;&gt;"""", NOT(ISNUMBER(I842))), AND(ISNUMBER(I842), OR(I842&lt;0, I842&gt;99998)), AND(L842&lt;&gt;"""", NOT(REGEXMATCH(L842&amp;"""", ""^\d{8,14}$"")))), ""Erro"", """")"),"")</f>
      </c>
    </row>
    <row r="843" ht="15.75" customHeight="true">
      <c r="A843" s="33"/>
      <c r="B843" s="34" t="str">
        <f t="shared" si="1"/>
      </c>
      <c r="C843" s="35"/>
      <c r="D843" s="36"/>
      <c r="E843" s="37"/>
      <c r="F843" s="38"/>
      <c r="G843" s="39" t="str">
        <f t="shared" si="2"/>
      </c>
      <c r="H843" s="40"/>
      <c r="I843" s="41"/>
      <c r="J843" s="41"/>
      <c r="K843" s="41"/>
      <c r="L843" s="42"/>
      <c r="M843" s="43"/>
      <c r="N843" s="44"/>
      <c r="O843" s="45"/>
      <c r="P843" s="46" t="str">
        <f>IFERROR(__xludf.DUMMYFUNCTION("IF(OR(AND(C843&lt;&gt;"""", LEN(C843)&lt;3), LEN(C843)&gt;60, AND(D843&lt;&gt;"""", NOT(ISNUMBER(D843))), AND(ISNUMBER(D843), OR(D843&lt;0.01, D843&gt;999999999)), AND(COUNTA(D843:F843, H843:N843)&gt;0, C843=""""),                  
  AND(COUNTA(C843, H843:N843)&gt;0, D843=""""), LEN("&amp;"H843)&gt;50, AND(I843&lt;&gt;"""", NOT(ISNUMBER(I843))), AND(ISNUMBER(I843), OR(I843&lt;0, I843&gt;99998)), AND(L843&lt;&gt;"""", NOT(REGEXMATCH(L843&amp;"""", ""^\d{8,14}$"")))), ""Erro"", """")"),"")</f>
      </c>
    </row>
    <row r="844" ht="15.75" customHeight="true">
      <c r="A844" s="33"/>
      <c r="B844" s="34" t="str">
        <f t="shared" si="1"/>
      </c>
      <c r="C844" s="35"/>
      <c r="D844" s="36"/>
      <c r="E844" s="37"/>
      <c r="F844" s="38"/>
      <c r="G844" s="39" t="str">
        <f t="shared" si="2"/>
      </c>
      <c r="H844" s="40"/>
      <c r="I844" s="41"/>
      <c r="J844" s="41"/>
      <c r="K844" s="41"/>
      <c r="L844" s="42"/>
      <c r="M844" s="43"/>
      <c r="N844" s="44"/>
      <c r="O844" s="45"/>
      <c r="P844" s="46" t="str">
        <f>IFERROR(__xludf.DUMMYFUNCTION("IF(OR(AND(C844&lt;&gt;"""", LEN(C844)&lt;3), LEN(C844)&gt;60, AND(D844&lt;&gt;"""", NOT(ISNUMBER(D844))), AND(ISNUMBER(D844), OR(D844&lt;0.01, D844&gt;999999999)), AND(COUNTA(D844:F844, H844:N844)&gt;0, C844=""""),                  
  AND(COUNTA(C844, H844:N844)&gt;0, D844=""""), LEN("&amp;"H844)&gt;50, AND(I844&lt;&gt;"""", NOT(ISNUMBER(I844))), AND(ISNUMBER(I844), OR(I844&lt;0, I844&gt;99998)), AND(L844&lt;&gt;"""", NOT(REGEXMATCH(L844&amp;"""", ""^\d{8,14}$"")))), ""Erro"", """")"),"")</f>
      </c>
    </row>
    <row r="845" ht="15.75" customHeight="true">
      <c r="A845" s="33"/>
      <c r="B845" s="34" t="str">
        <f t="shared" si="1"/>
      </c>
      <c r="C845" s="35"/>
      <c r="D845" s="36"/>
      <c r="E845" s="37"/>
      <c r="F845" s="38"/>
      <c r="G845" s="39" t="str">
        <f t="shared" si="2"/>
      </c>
      <c r="H845" s="40"/>
      <c r="I845" s="41"/>
      <c r="J845" s="41"/>
      <c r="K845" s="41"/>
      <c r="L845" s="42"/>
      <c r="M845" s="43"/>
      <c r="N845" s="44"/>
      <c r="O845" s="45"/>
      <c r="P845" s="46" t="str">
        <f>IFERROR(__xludf.DUMMYFUNCTION("IF(OR(AND(C845&lt;&gt;"""", LEN(C845)&lt;3), LEN(C845)&gt;60, AND(D845&lt;&gt;"""", NOT(ISNUMBER(D845))), AND(ISNUMBER(D845), OR(D845&lt;0.01, D845&gt;999999999)), AND(COUNTA(D845:F845, H845:N845)&gt;0, C845=""""),                  
  AND(COUNTA(C845, H845:N845)&gt;0, D845=""""), LEN("&amp;"H845)&gt;50, AND(I845&lt;&gt;"""", NOT(ISNUMBER(I845))), AND(ISNUMBER(I845), OR(I845&lt;0, I845&gt;99998)), AND(L845&lt;&gt;"""", NOT(REGEXMATCH(L845&amp;"""", ""^\d{8,14}$"")))), ""Erro"", """")"),"")</f>
      </c>
    </row>
    <row r="846" ht="15.75" customHeight="true">
      <c r="A846" s="33"/>
      <c r="B846" s="34" t="str">
        <f t="shared" si="1"/>
      </c>
      <c r="C846" s="35"/>
      <c r="D846" s="36"/>
      <c r="E846" s="37"/>
      <c r="F846" s="38"/>
      <c r="G846" s="39" t="str">
        <f t="shared" si="2"/>
      </c>
      <c r="H846" s="40"/>
      <c r="I846" s="41"/>
      <c r="J846" s="41"/>
      <c r="K846" s="41"/>
      <c r="L846" s="42"/>
      <c r="M846" s="43"/>
      <c r="N846" s="44"/>
      <c r="O846" s="45"/>
      <c r="P846" s="46" t="str">
        <f>IFERROR(__xludf.DUMMYFUNCTION("IF(OR(AND(C846&lt;&gt;"""", LEN(C846)&lt;3), LEN(C846)&gt;60, AND(D846&lt;&gt;"""", NOT(ISNUMBER(D846))), AND(ISNUMBER(D846), OR(D846&lt;0.01, D846&gt;999999999)), AND(COUNTA(D846:F846, H846:N846)&gt;0, C846=""""),                  
  AND(COUNTA(C846, H846:N846)&gt;0, D846=""""), LEN("&amp;"H846)&gt;50, AND(I846&lt;&gt;"""", NOT(ISNUMBER(I846))), AND(ISNUMBER(I846), OR(I846&lt;0, I846&gt;99998)), AND(L846&lt;&gt;"""", NOT(REGEXMATCH(L846&amp;"""", ""^\d{8,14}$"")))), ""Erro"", """")"),"")</f>
      </c>
    </row>
    <row r="847" ht="15.75" customHeight="true">
      <c r="A847" s="33"/>
      <c r="B847" s="34" t="str">
        <f t="shared" si="1"/>
      </c>
      <c r="C847" s="35"/>
      <c r="D847" s="36"/>
      <c r="E847" s="37"/>
      <c r="F847" s="38"/>
      <c r="G847" s="39" t="str">
        <f t="shared" si="2"/>
      </c>
      <c r="H847" s="40"/>
      <c r="I847" s="41"/>
      <c r="J847" s="41"/>
      <c r="K847" s="41"/>
      <c r="L847" s="42"/>
      <c r="M847" s="43"/>
      <c r="N847" s="44"/>
      <c r="O847" s="45"/>
      <c r="P847" s="46" t="str">
        <f>IFERROR(__xludf.DUMMYFUNCTION("IF(OR(AND(C847&lt;&gt;"""", LEN(C847)&lt;3), LEN(C847)&gt;60, AND(D847&lt;&gt;"""", NOT(ISNUMBER(D847))), AND(ISNUMBER(D847), OR(D847&lt;0.01, D847&gt;999999999)), AND(COUNTA(D847:F847, H847:N847)&gt;0, C847=""""),                  
  AND(COUNTA(C847, H847:N847)&gt;0, D847=""""), LEN("&amp;"H847)&gt;50, AND(I847&lt;&gt;"""", NOT(ISNUMBER(I847))), AND(ISNUMBER(I847), OR(I847&lt;0, I847&gt;99998)), AND(L847&lt;&gt;"""", NOT(REGEXMATCH(L847&amp;"""", ""^\d{8,14}$"")))), ""Erro"", """")"),"")</f>
      </c>
    </row>
    <row r="848" ht="15.75" customHeight="true">
      <c r="A848" s="33"/>
      <c r="B848" s="34" t="str">
        <f t="shared" si="1"/>
      </c>
      <c r="C848" s="35"/>
      <c r="D848" s="36"/>
      <c r="E848" s="37"/>
      <c r="F848" s="38"/>
      <c r="G848" s="39" t="str">
        <f t="shared" si="2"/>
      </c>
      <c r="H848" s="40"/>
      <c r="I848" s="41"/>
      <c r="J848" s="41"/>
      <c r="K848" s="41"/>
      <c r="L848" s="42"/>
      <c r="M848" s="43"/>
      <c r="N848" s="44"/>
      <c r="O848" s="45"/>
      <c r="P848" s="46" t="str">
        <f>IFERROR(__xludf.DUMMYFUNCTION("IF(OR(AND(C848&lt;&gt;"""", LEN(C848)&lt;3), LEN(C848)&gt;60, AND(D848&lt;&gt;"""", NOT(ISNUMBER(D848))), AND(ISNUMBER(D848), OR(D848&lt;0.01, D848&gt;999999999)), AND(COUNTA(D848:F848, H848:N848)&gt;0, C848=""""),                  
  AND(COUNTA(C848, H848:N848)&gt;0, D848=""""), LEN("&amp;"H848)&gt;50, AND(I848&lt;&gt;"""", NOT(ISNUMBER(I848))), AND(ISNUMBER(I848), OR(I848&lt;0, I848&gt;99998)), AND(L848&lt;&gt;"""", NOT(REGEXMATCH(L848&amp;"""", ""^\d{8,14}$"")))), ""Erro"", """")"),"")</f>
      </c>
    </row>
    <row r="849" ht="15.75" customHeight="true">
      <c r="A849" s="33"/>
      <c r="B849" s="34" t="str">
        <f t="shared" si="1"/>
      </c>
      <c r="C849" s="35"/>
      <c r="D849" s="36"/>
      <c r="E849" s="37"/>
      <c r="F849" s="38"/>
      <c r="G849" s="39" t="str">
        <f t="shared" si="2"/>
      </c>
      <c r="H849" s="40"/>
      <c r="I849" s="41"/>
      <c r="J849" s="41"/>
      <c r="K849" s="41"/>
      <c r="L849" s="42"/>
      <c r="M849" s="43"/>
      <c r="N849" s="44"/>
      <c r="O849" s="45"/>
      <c r="P849" s="46" t="str">
        <f>IFERROR(__xludf.DUMMYFUNCTION("IF(OR(AND(C849&lt;&gt;"""", LEN(C849)&lt;3), LEN(C849)&gt;60, AND(D849&lt;&gt;"""", NOT(ISNUMBER(D849))), AND(ISNUMBER(D849), OR(D849&lt;0.01, D849&gt;999999999)), AND(COUNTA(D849:F849, H849:N849)&gt;0, C849=""""),                  
  AND(COUNTA(C849, H849:N849)&gt;0, D849=""""), LEN("&amp;"H849)&gt;50, AND(I849&lt;&gt;"""", NOT(ISNUMBER(I849))), AND(ISNUMBER(I849), OR(I849&lt;0, I849&gt;99998)), AND(L849&lt;&gt;"""", NOT(REGEXMATCH(L849&amp;"""", ""^\d{8,14}$"")))), ""Erro"", """")"),"")</f>
      </c>
    </row>
    <row r="850" ht="15.75" customHeight="true">
      <c r="A850" s="33"/>
      <c r="B850" s="34" t="str">
        <f t="shared" si="1"/>
      </c>
      <c r="C850" s="35"/>
      <c r="D850" s="36"/>
      <c r="E850" s="37"/>
      <c r="F850" s="38"/>
      <c r="G850" s="39" t="str">
        <f t="shared" si="2"/>
      </c>
      <c r="H850" s="40"/>
      <c r="I850" s="41"/>
      <c r="J850" s="41"/>
      <c r="K850" s="41"/>
      <c r="L850" s="42"/>
      <c r="M850" s="43"/>
      <c r="N850" s="44"/>
      <c r="O850" s="45"/>
      <c r="P850" s="46" t="str">
        <f>IFERROR(__xludf.DUMMYFUNCTION("IF(OR(AND(C850&lt;&gt;"""", LEN(C850)&lt;3), LEN(C850)&gt;60, AND(D850&lt;&gt;"""", NOT(ISNUMBER(D850))), AND(ISNUMBER(D850), OR(D850&lt;0.01, D850&gt;999999999)), AND(COUNTA(D850:F850, H850:N850)&gt;0, C850=""""),                  
  AND(COUNTA(C850, H850:N850)&gt;0, D850=""""), LEN("&amp;"H850)&gt;50, AND(I850&lt;&gt;"""", NOT(ISNUMBER(I850))), AND(ISNUMBER(I850), OR(I850&lt;0, I850&gt;99998)), AND(L850&lt;&gt;"""", NOT(REGEXMATCH(L850&amp;"""", ""^\d{8,14}$"")))), ""Erro"", """")"),"")</f>
      </c>
    </row>
    <row r="851" ht="15.75" customHeight="true">
      <c r="A851" s="33"/>
      <c r="B851" s="34" t="str">
        <f t="shared" si="1"/>
      </c>
      <c r="C851" s="35"/>
      <c r="D851" s="36"/>
      <c r="E851" s="37"/>
      <c r="F851" s="38"/>
      <c r="G851" s="39" t="str">
        <f t="shared" si="2"/>
      </c>
      <c r="H851" s="40"/>
      <c r="I851" s="41"/>
      <c r="J851" s="41"/>
      <c r="K851" s="41"/>
      <c r="L851" s="42"/>
      <c r="M851" s="43"/>
      <c r="N851" s="44"/>
      <c r="O851" s="45"/>
      <c r="P851" s="46" t="str">
        <f>IFERROR(__xludf.DUMMYFUNCTION("IF(OR(AND(C851&lt;&gt;"""", LEN(C851)&lt;3), LEN(C851)&gt;60, AND(D851&lt;&gt;"""", NOT(ISNUMBER(D851))), AND(ISNUMBER(D851), OR(D851&lt;0.01, D851&gt;999999999)), AND(COUNTA(D851:F851, H851:N851)&gt;0, C851=""""),                  
  AND(COUNTA(C851, H851:N851)&gt;0, D851=""""), LEN("&amp;"H851)&gt;50, AND(I851&lt;&gt;"""", NOT(ISNUMBER(I851))), AND(ISNUMBER(I851), OR(I851&lt;0, I851&gt;99998)), AND(L851&lt;&gt;"""", NOT(REGEXMATCH(L851&amp;"""", ""^\d{8,14}$"")))), ""Erro"", """")"),"")</f>
      </c>
    </row>
    <row r="852" ht="15.75" customHeight="true">
      <c r="A852" s="33"/>
      <c r="B852" s="34" t="str">
        <f t="shared" si="1"/>
      </c>
      <c r="C852" s="35"/>
      <c r="D852" s="36"/>
      <c r="E852" s="37"/>
      <c r="F852" s="38"/>
      <c r="G852" s="39" t="str">
        <f t="shared" si="2"/>
      </c>
      <c r="H852" s="40"/>
      <c r="I852" s="41"/>
      <c r="J852" s="41"/>
      <c r="K852" s="41"/>
      <c r="L852" s="42"/>
      <c r="M852" s="43"/>
      <c r="N852" s="44"/>
      <c r="O852" s="45"/>
      <c r="P852" s="46" t="str">
        <f>IFERROR(__xludf.DUMMYFUNCTION("IF(OR(AND(C852&lt;&gt;"""", LEN(C852)&lt;3), LEN(C852)&gt;60, AND(D852&lt;&gt;"""", NOT(ISNUMBER(D852))), AND(ISNUMBER(D852), OR(D852&lt;0.01, D852&gt;999999999)), AND(COUNTA(D852:F852, H852:N852)&gt;0, C852=""""),                  
  AND(COUNTA(C852, H852:N852)&gt;0, D852=""""), LEN("&amp;"H852)&gt;50, AND(I852&lt;&gt;"""", NOT(ISNUMBER(I852))), AND(ISNUMBER(I852), OR(I852&lt;0, I852&gt;99998)), AND(L852&lt;&gt;"""", NOT(REGEXMATCH(L852&amp;"""", ""^\d{8,14}$"")))), ""Erro"", """")"),"")</f>
      </c>
    </row>
    <row r="853" ht="15.75" customHeight="true">
      <c r="A853" s="33"/>
      <c r="B853" s="34" t="str">
        <f t="shared" si="1"/>
      </c>
      <c r="C853" s="35"/>
      <c r="D853" s="36"/>
      <c r="E853" s="37"/>
      <c r="F853" s="38"/>
      <c r="G853" s="39" t="str">
        <f t="shared" si="2"/>
      </c>
      <c r="H853" s="40"/>
      <c r="I853" s="41"/>
      <c r="J853" s="41"/>
      <c r="K853" s="41"/>
      <c r="L853" s="42"/>
      <c r="M853" s="43"/>
      <c r="N853" s="44"/>
      <c r="O853" s="45"/>
      <c r="P853" s="46" t="str">
        <f>IFERROR(__xludf.DUMMYFUNCTION("IF(OR(AND(C853&lt;&gt;"""", LEN(C853)&lt;3), LEN(C853)&gt;60, AND(D853&lt;&gt;"""", NOT(ISNUMBER(D853))), AND(ISNUMBER(D853), OR(D853&lt;0.01, D853&gt;999999999)), AND(COUNTA(D853:F853, H853:N853)&gt;0, C853=""""),                  
  AND(COUNTA(C853, H853:N853)&gt;0, D853=""""), LEN("&amp;"H853)&gt;50, AND(I853&lt;&gt;"""", NOT(ISNUMBER(I853))), AND(ISNUMBER(I853), OR(I853&lt;0, I853&gt;99998)), AND(L853&lt;&gt;"""", NOT(REGEXMATCH(L853&amp;"""", ""^\d{8,14}$"")))), ""Erro"", """")"),"")</f>
      </c>
    </row>
    <row r="854" ht="15.75" customHeight="true">
      <c r="A854" s="33"/>
      <c r="B854" s="34" t="str">
        <f t="shared" si="1"/>
      </c>
      <c r="C854" s="35"/>
      <c r="D854" s="36"/>
      <c r="E854" s="37"/>
      <c r="F854" s="38"/>
      <c r="G854" s="39" t="str">
        <f t="shared" si="2"/>
      </c>
      <c r="H854" s="40"/>
      <c r="I854" s="41"/>
      <c r="J854" s="41"/>
      <c r="K854" s="41"/>
      <c r="L854" s="42"/>
      <c r="M854" s="43"/>
      <c r="N854" s="44"/>
      <c r="O854" s="45"/>
      <c r="P854" s="46" t="str">
        <f>IFERROR(__xludf.DUMMYFUNCTION("IF(OR(AND(C854&lt;&gt;"""", LEN(C854)&lt;3), LEN(C854)&gt;60, AND(D854&lt;&gt;"""", NOT(ISNUMBER(D854))), AND(ISNUMBER(D854), OR(D854&lt;0.01, D854&gt;999999999)), AND(COUNTA(D854:F854, H854:N854)&gt;0, C854=""""),                  
  AND(COUNTA(C854, H854:N854)&gt;0, D854=""""), LEN("&amp;"H854)&gt;50, AND(I854&lt;&gt;"""", NOT(ISNUMBER(I854))), AND(ISNUMBER(I854), OR(I854&lt;0, I854&gt;99998)), AND(L854&lt;&gt;"""", NOT(REGEXMATCH(L854&amp;"""", ""^\d{8,14}$"")))), ""Erro"", """")"),"")</f>
      </c>
    </row>
    <row r="855" ht="15.75" customHeight="true">
      <c r="A855" s="33"/>
      <c r="B855" s="34" t="str">
        <f t="shared" si="1"/>
      </c>
      <c r="C855" s="35"/>
      <c r="D855" s="36"/>
      <c r="E855" s="37"/>
      <c r="F855" s="38"/>
      <c r="G855" s="39" t="str">
        <f t="shared" si="2"/>
      </c>
      <c r="H855" s="40"/>
      <c r="I855" s="41"/>
      <c r="J855" s="41"/>
      <c r="K855" s="41"/>
      <c r="L855" s="42"/>
      <c r="M855" s="43"/>
      <c r="N855" s="44"/>
      <c r="O855" s="45"/>
      <c r="P855" s="46" t="str">
        <f>IFERROR(__xludf.DUMMYFUNCTION("IF(OR(AND(C855&lt;&gt;"""", LEN(C855)&lt;3), LEN(C855)&gt;60, AND(D855&lt;&gt;"""", NOT(ISNUMBER(D855))), AND(ISNUMBER(D855), OR(D855&lt;0.01, D855&gt;999999999)), AND(COUNTA(D855:F855, H855:N855)&gt;0, C855=""""),                  
  AND(COUNTA(C855, H855:N855)&gt;0, D855=""""), LEN("&amp;"H855)&gt;50, AND(I855&lt;&gt;"""", NOT(ISNUMBER(I855))), AND(ISNUMBER(I855), OR(I855&lt;0, I855&gt;99998)), AND(L855&lt;&gt;"""", NOT(REGEXMATCH(L855&amp;"""", ""^\d{8,14}$"")))), ""Erro"", """")"),"")</f>
      </c>
    </row>
    <row r="856" ht="15.75" customHeight="true">
      <c r="A856" s="33"/>
      <c r="B856" s="34" t="str">
        <f t="shared" si="1"/>
      </c>
      <c r="C856" s="35"/>
      <c r="D856" s="36"/>
      <c r="E856" s="37"/>
      <c r="F856" s="38"/>
      <c r="G856" s="39" t="str">
        <f t="shared" si="2"/>
      </c>
      <c r="H856" s="40"/>
      <c r="I856" s="41"/>
      <c r="J856" s="41"/>
      <c r="K856" s="41"/>
      <c r="L856" s="42"/>
      <c r="M856" s="43"/>
      <c r="N856" s="44"/>
      <c r="O856" s="45"/>
      <c r="P856" s="46" t="str">
        <f>IFERROR(__xludf.DUMMYFUNCTION("IF(OR(AND(C856&lt;&gt;"""", LEN(C856)&lt;3), LEN(C856)&gt;60, AND(D856&lt;&gt;"""", NOT(ISNUMBER(D856))), AND(ISNUMBER(D856), OR(D856&lt;0.01, D856&gt;999999999)), AND(COUNTA(D856:F856, H856:N856)&gt;0, C856=""""),                  
  AND(COUNTA(C856, H856:N856)&gt;0, D856=""""), LEN("&amp;"H856)&gt;50, AND(I856&lt;&gt;"""", NOT(ISNUMBER(I856))), AND(ISNUMBER(I856), OR(I856&lt;0, I856&gt;99998)), AND(L856&lt;&gt;"""", NOT(REGEXMATCH(L856&amp;"""", ""^\d{8,14}$"")))), ""Erro"", """")"),"")</f>
      </c>
    </row>
    <row r="857" ht="15.75" customHeight="true">
      <c r="A857" s="33"/>
      <c r="B857" s="34" t="str">
        <f t="shared" si="1"/>
      </c>
      <c r="C857" s="35"/>
      <c r="D857" s="36"/>
      <c r="E857" s="37"/>
      <c r="F857" s="38"/>
      <c r="G857" s="39" t="str">
        <f t="shared" si="2"/>
      </c>
      <c r="H857" s="40"/>
      <c r="I857" s="41"/>
      <c r="J857" s="41"/>
      <c r="K857" s="41"/>
      <c r="L857" s="42"/>
      <c r="M857" s="43"/>
      <c r="N857" s="44"/>
      <c r="O857" s="45"/>
      <c r="P857" s="46" t="str">
        <f>IFERROR(__xludf.DUMMYFUNCTION("IF(OR(AND(C857&lt;&gt;"""", LEN(C857)&lt;3), LEN(C857)&gt;60, AND(D857&lt;&gt;"""", NOT(ISNUMBER(D857))), AND(ISNUMBER(D857), OR(D857&lt;0.01, D857&gt;999999999)), AND(COUNTA(D857:F857, H857:N857)&gt;0, C857=""""),                  
  AND(COUNTA(C857, H857:N857)&gt;0, D857=""""), LEN("&amp;"H857)&gt;50, AND(I857&lt;&gt;"""", NOT(ISNUMBER(I857))), AND(ISNUMBER(I857), OR(I857&lt;0, I857&gt;99998)), AND(L857&lt;&gt;"""", NOT(REGEXMATCH(L857&amp;"""", ""^\d{8,14}$"")))), ""Erro"", """")"),"")</f>
      </c>
    </row>
    <row r="858" ht="15.75" customHeight="true">
      <c r="A858" s="33"/>
      <c r="B858" s="34" t="str">
        <f t="shared" si="1"/>
      </c>
      <c r="C858" s="35"/>
      <c r="D858" s="36"/>
      <c r="E858" s="37"/>
      <c r="F858" s="38"/>
      <c r="G858" s="39" t="str">
        <f t="shared" si="2"/>
      </c>
      <c r="H858" s="40"/>
      <c r="I858" s="41"/>
      <c r="J858" s="41"/>
      <c r="K858" s="41"/>
      <c r="L858" s="42"/>
      <c r="M858" s="43"/>
      <c r="N858" s="44"/>
      <c r="O858" s="45"/>
      <c r="P858" s="46" t="str">
        <f>IFERROR(__xludf.DUMMYFUNCTION("IF(OR(AND(C858&lt;&gt;"""", LEN(C858)&lt;3), LEN(C858)&gt;60, AND(D858&lt;&gt;"""", NOT(ISNUMBER(D858))), AND(ISNUMBER(D858), OR(D858&lt;0.01, D858&gt;999999999)), AND(COUNTA(D858:F858, H858:N858)&gt;0, C858=""""),                  
  AND(COUNTA(C858, H858:N858)&gt;0, D858=""""), LEN("&amp;"H858)&gt;50, AND(I858&lt;&gt;"""", NOT(ISNUMBER(I858))), AND(ISNUMBER(I858), OR(I858&lt;0, I858&gt;99998)), AND(L858&lt;&gt;"""", NOT(REGEXMATCH(L858&amp;"""", ""^\d{8,14}$"")))), ""Erro"", """")"),"")</f>
      </c>
    </row>
    <row r="859" ht="15.75" customHeight="true">
      <c r="A859" s="33"/>
      <c r="B859" s="34" t="str">
        <f t="shared" si="1"/>
      </c>
      <c r="C859" s="35"/>
      <c r="D859" s="36"/>
      <c r="E859" s="37"/>
      <c r="F859" s="38"/>
      <c r="G859" s="39" t="str">
        <f t="shared" si="2"/>
      </c>
      <c r="H859" s="40"/>
      <c r="I859" s="41"/>
      <c r="J859" s="41"/>
      <c r="K859" s="41"/>
      <c r="L859" s="42"/>
      <c r="M859" s="43"/>
      <c r="N859" s="44"/>
      <c r="O859" s="45"/>
      <c r="P859" s="46" t="str">
        <f>IFERROR(__xludf.DUMMYFUNCTION("IF(OR(AND(C859&lt;&gt;"""", LEN(C859)&lt;3), LEN(C859)&gt;60, AND(D859&lt;&gt;"""", NOT(ISNUMBER(D859))), AND(ISNUMBER(D859), OR(D859&lt;0.01, D859&gt;999999999)), AND(COUNTA(D859:F859, H859:N859)&gt;0, C859=""""),                  
  AND(COUNTA(C859, H859:N859)&gt;0, D859=""""), LEN("&amp;"H859)&gt;50, AND(I859&lt;&gt;"""", NOT(ISNUMBER(I859))), AND(ISNUMBER(I859), OR(I859&lt;0, I859&gt;99998)), AND(L859&lt;&gt;"""", NOT(REGEXMATCH(L859&amp;"""", ""^\d{8,14}$"")))), ""Erro"", """")"),"")</f>
      </c>
    </row>
    <row r="860" ht="15.75" customHeight="true">
      <c r="A860" s="33"/>
      <c r="B860" s="34" t="str">
        <f t="shared" si="1"/>
      </c>
      <c r="C860" s="35"/>
      <c r="D860" s="36"/>
      <c r="E860" s="37"/>
      <c r="F860" s="38"/>
      <c r="G860" s="39" t="str">
        <f t="shared" si="2"/>
      </c>
      <c r="H860" s="40"/>
      <c r="I860" s="41"/>
      <c r="J860" s="41"/>
      <c r="K860" s="41"/>
      <c r="L860" s="42"/>
      <c r="M860" s="43"/>
      <c r="N860" s="44"/>
      <c r="O860" s="45"/>
      <c r="P860" s="46" t="str">
        <f>IFERROR(__xludf.DUMMYFUNCTION("IF(OR(AND(C860&lt;&gt;"""", LEN(C860)&lt;3), LEN(C860)&gt;60, AND(D860&lt;&gt;"""", NOT(ISNUMBER(D860))), AND(ISNUMBER(D860), OR(D860&lt;0.01, D860&gt;999999999)), AND(COUNTA(D860:F860, H860:N860)&gt;0, C860=""""),                  
  AND(COUNTA(C860, H860:N860)&gt;0, D860=""""), LEN("&amp;"H860)&gt;50, AND(I860&lt;&gt;"""", NOT(ISNUMBER(I860))), AND(ISNUMBER(I860), OR(I860&lt;0, I860&gt;99998)), AND(L860&lt;&gt;"""", NOT(REGEXMATCH(L860&amp;"""", ""^\d{8,14}$"")))), ""Erro"", """")"),"")</f>
      </c>
    </row>
    <row r="861" ht="15.75" customHeight="true">
      <c r="A861" s="33"/>
      <c r="B861" s="34" t="str">
        <f t="shared" si="1"/>
      </c>
      <c r="C861" s="35"/>
      <c r="D861" s="36"/>
      <c r="E861" s="37"/>
      <c r="F861" s="38"/>
      <c r="G861" s="39" t="str">
        <f t="shared" si="2"/>
      </c>
      <c r="H861" s="40"/>
      <c r="I861" s="41"/>
      <c r="J861" s="41"/>
      <c r="K861" s="41"/>
      <c r="L861" s="42"/>
      <c r="M861" s="43"/>
      <c r="N861" s="44"/>
      <c r="O861" s="45"/>
      <c r="P861" s="46" t="str">
        <f>IFERROR(__xludf.DUMMYFUNCTION("IF(OR(AND(C861&lt;&gt;"""", LEN(C861)&lt;3), LEN(C861)&gt;60, AND(D861&lt;&gt;"""", NOT(ISNUMBER(D861))), AND(ISNUMBER(D861), OR(D861&lt;0.01, D861&gt;999999999)), AND(COUNTA(D861:F861, H861:N861)&gt;0, C861=""""),                  
  AND(COUNTA(C861, H861:N861)&gt;0, D861=""""), LEN("&amp;"H861)&gt;50, AND(I861&lt;&gt;"""", NOT(ISNUMBER(I861))), AND(ISNUMBER(I861), OR(I861&lt;0, I861&gt;99998)), AND(L861&lt;&gt;"""", NOT(REGEXMATCH(L861&amp;"""", ""^\d{8,14}$"")))), ""Erro"", """")"),"")</f>
      </c>
    </row>
    <row r="862" ht="15.75" customHeight="true">
      <c r="A862" s="33"/>
      <c r="B862" s="34" t="str">
        <f t="shared" si="1"/>
      </c>
      <c r="C862" s="35"/>
      <c r="D862" s="36"/>
      <c r="E862" s="37"/>
      <c r="F862" s="38"/>
      <c r="G862" s="39" t="str">
        <f t="shared" si="2"/>
      </c>
      <c r="H862" s="40"/>
      <c r="I862" s="41"/>
      <c r="J862" s="41"/>
      <c r="K862" s="41"/>
      <c r="L862" s="42"/>
      <c r="M862" s="43"/>
      <c r="N862" s="44"/>
      <c r="O862" s="45"/>
      <c r="P862" s="46" t="str">
        <f>IFERROR(__xludf.DUMMYFUNCTION("IF(OR(AND(C862&lt;&gt;"""", LEN(C862)&lt;3), LEN(C862)&gt;60, AND(D862&lt;&gt;"""", NOT(ISNUMBER(D862))), AND(ISNUMBER(D862), OR(D862&lt;0.01, D862&gt;999999999)), AND(COUNTA(D862:F862, H862:N862)&gt;0, C862=""""),                  
  AND(COUNTA(C862, H862:N862)&gt;0, D862=""""), LEN("&amp;"H862)&gt;50, AND(I862&lt;&gt;"""", NOT(ISNUMBER(I862))), AND(ISNUMBER(I862), OR(I862&lt;0, I862&gt;99998)), AND(L862&lt;&gt;"""", NOT(REGEXMATCH(L862&amp;"""", ""^\d{8,14}$"")))), ""Erro"", """")"),"")</f>
      </c>
    </row>
    <row r="863" ht="15.75" customHeight="true">
      <c r="A863" s="33"/>
      <c r="B863" s="34" t="str">
        <f t="shared" si="1"/>
      </c>
      <c r="C863" s="35"/>
      <c r="D863" s="36"/>
      <c r="E863" s="37"/>
      <c r="F863" s="38"/>
      <c r="G863" s="39" t="str">
        <f t="shared" si="2"/>
      </c>
      <c r="H863" s="40"/>
      <c r="I863" s="41"/>
      <c r="J863" s="41"/>
      <c r="K863" s="41"/>
      <c r="L863" s="42"/>
      <c r="M863" s="43"/>
      <c r="N863" s="44"/>
      <c r="O863" s="45"/>
      <c r="P863" s="46" t="str">
        <f>IFERROR(__xludf.DUMMYFUNCTION("IF(OR(AND(C863&lt;&gt;"""", LEN(C863)&lt;3), LEN(C863)&gt;60, AND(D863&lt;&gt;"""", NOT(ISNUMBER(D863))), AND(ISNUMBER(D863), OR(D863&lt;0.01, D863&gt;999999999)), AND(COUNTA(D863:F863, H863:N863)&gt;0, C863=""""),                  
  AND(COUNTA(C863, H863:N863)&gt;0, D863=""""), LEN("&amp;"H863)&gt;50, AND(I863&lt;&gt;"""", NOT(ISNUMBER(I863))), AND(ISNUMBER(I863), OR(I863&lt;0, I863&gt;99998)), AND(L863&lt;&gt;"""", NOT(REGEXMATCH(L863&amp;"""", ""^\d{8,14}$"")))), ""Erro"", """")"),"")</f>
      </c>
    </row>
    <row r="864" ht="15.75" customHeight="true">
      <c r="A864" s="33"/>
      <c r="B864" s="34" t="str">
        <f t="shared" si="1"/>
      </c>
      <c r="C864" s="35"/>
      <c r="D864" s="36"/>
      <c r="E864" s="37"/>
      <c r="F864" s="38"/>
      <c r="G864" s="39" t="str">
        <f t="shared" si="2"/>
      </c>
      <c r="H864" s="40"/>
      <c r="I864" s="41"/>
      <c r="J864" s="41"/>
      <c r="K864" s="41"/>
      <c r="L864" s="42"/>
      <c r="M864" s="43"/>
      <c r="N864" s="44"/>
      <c r="O864" s="45"/>
      <c r="P864" s="46" t="str">
        <f>IFERROR(__xludf.DUMMYFUNCTION("IF(OR(AND(C864&lt;&gt;"""", LEN(C864)&lt;3), LEN(C864)&gt;60, AND(D864&lt;&gt;"""", NOT(ISNUMBER(D864))), AND(ISNUMBER(D864), OR(D864&lt;0.01, D864&gt;999999999)), AND(COUNTA(D864:F864, H864:N864)&gt;0, C864=""""),                  
  AND(COUNTA(C864, H864:N864)&gt;0, D864=""""), LEN("&amp;"H864)&gt;50, AND(I864&lt;&gt;"""", NOT(ISNUMBER(I864))), AND(ISNUMBER(I864), OR(I864&lt;0, I864&gt;99998)), AND(L864&lt;&gt;"""", NOT(REGEXMATCH(L864&amp;"""", ""^\d{8,14}$"")))), ""Erro"", """")"),"")</f>
      </c>
    </row>
    <row r="865" ht="15.75" customHeight="true">
      <c r="A865" s="33"/>
      <c r="B865" s="34" t="str">
        <f t="shared" si="1"/>
      </c>
      <c r="C865" s="35"/>
      <c r="D865" s="36"/>
      <c r="E865" s="37"/>
      <c r="F865" s="38"/>
      <c r="G865" s="39" t="str">
        <f t="shared" si="2"/>
      </c>
      <c r="H865" s="40"/>
      <c r="I865" s="41"/>
      <c r="J865" s="41"/>
      <c r="K865" s="41"/>
      <c r="L865" s="42"/>
      <c r="M865" s="43"/>
      <c r="N865" s="44"/>
      <c r="O865" s="45"/>
      <c r="P865" s="46" t="str">
        <f>IFERROR(__xludf.DUMMYFUNCTION("IF(OR(AND(C865&lt;&gt;"""", LEN(C865)&lt;3), LEN(C865)&gt;60, AND(D865&lt;&gt;"""", NOT(ISNUMBER(D865))), AND(ISNUMBER(D865), OR(D865&lt;0.01, D865&gt;999999999)), AND(COUNTA(D865:F865, H865:N865)&gt;0, C865=""""),                  
  AND(COUNTA(C865, H865:N865)&gt;0, D865=""""), LEN("&amp;"H865)&gt;50, AND(I865&lt;&gt;"""", NOT(ISNUMBER(I865))), AND(ISNUMBER(I865), OR(I865&lt;0, I865&gt;99998)), AND(L865&lt;&gt;"""", NOT(REGEXMATCH(L865&amp;"""", ""^\d{8,14}$"")))), ""Erro"", """")"),"")</f>
      </c>
    </row>
    <row r="866" ht="15.75" customHeight="true">
      <c r="A866" s="33"/>
      <c r="B866" s="34" t="str">
        <f t="shared" si="1"/>
      </c>
      <c r="C866" s="35"/>
      <c r="D866" s="36"/>
      <c r="E866" s="37"/>
      <c r="F866" s="38"/>
      <c r="G866" s="39" t="str">
        <f t="shared" si="2"/>
      </c>
      <c r="H866" s="40"/>
      <c r="I866" s="41"/>
      <c r="J866" s="41"/>
      <c r="K866" s="41"/>
      <c r="L866" s="42"/>
      <c r="M866" s="43"/>
      <c r="N866" s="44"/>
      <c r="O866" s="45"/>
      <c r="P866" s="46" t="str">
        <f>IFERROR(__xludf.DUMMYFUNCTION("IF(OR(AND(C866&lt;&gt;"""", LEN(C866)&lt;3), LEN(C866)&gt;60, AND(D866&lt;&gt;"""", NOT(ISNUMBER(D866))), AND(ISNUMBER(D866), OR(D866&lt;0.01, D866&gt;999999999)), AND(COUNTA(D866:F866, H866:N866)&gt;0, C866=""""),                  
  AND(COUNTA(C866, H866:N866)&gt;0, D866=""""), LEN("&amp;"H866)&gt;50, AND(I866&lt;&gt;"""", NOT(ISNUMBER(I866))), AND(ISNUMBER(I866), OR(I866&lt;0, I866&gt;99998)), AND(L866&lt;&gt;"""", NOT(REGEXMATCH(L866&amp;"""", ""^\d{8,14}$"")))), ""Erro"", """")"),"")</f>
      </c>
    </row>
    <row r="867" ht="15.75" customHeight="true">
      <c r="A867" s="33"/>
      <c r="B867" s="34" t="str">
        <f t="shared" si="1"/>
      </c>
      <c r="C867" s="35"/>
      <c r="D867" s="36"/>
      <c r="E867" s="37"/>
      <c r="F867" s="38"/>
      <c r="G867" s="39" t="str">
        <f t="shared" si="2"/>
      </c>
      <c r="H867" s="40"/>
      <c r="I867" s="41"/>
      <c r="J867" s="41"/>
      <c r="K867" s="41"/>
      <c r="L867" s="42"/>
      <c r="M867" s="43"/>
      <c r="N867" s="44"/>
      <c r="O867" s="45"/>
      <c r="P867" s="46" t="str">
        <f>IFERROR(__xludf.DUMMYFUNCTION("IF(OR(AND(C867&lt;&gt;"""", LEN(C867)&lt;3), LEN(C867)&gt;60, AND(D867&lt;&gt;"""", NOT(ISNUMBER(D867))), AND(ISNUMBER(D867), OR(D867&lt;0.01, D867&gt;999999999)), AND(COUNTA(D867:F867, H867:N867)&gt;0, C867=""""),                  
  AND(COUNTA(C867, H867:N867)&gt;0, D867=""""), LEN("&amp;"H867)&gt;50, AND(I867&lt;&gt;"""", NOT(ISNUMBER(I867))), AND(ISNUMBER(I867), OR(I867&lt;0, I867&gt;99998)), AND(L867&lt;&gt;"""", NOT(REGEXMATCH(L867&amp;"""", ""^\d{8,14}$"")))), ""Erro"", """")"),"")</f>
      </c>
    </row>
    <row r="868" ht="15.75" customHeight="true">
      <c r="A868" s="33"/>
      <c r="B868" s="34" t="str">
        <f t="shared" si="1"/>
      </c>
      <c r="C868" s="35"/>
      <c r="D868" s="36"/>
      <c r="E868" s="37"/>
      <c r="F868" s="38"/>
      <c r="G868" s="39" t="str">
        <f t="shared" si="2"/>
      </c>
      <c r="H868" s="40"/>
      <c r="I868" s="41"/>
      <c r="J868" s="41"/>
      <c r="K868" s="41"/>
      <c r="L868" s="42"/>
      <c r="M868" s="43"/>
      <c r="N868" s="44"/>
      <c r="O868" s="45"/>
      <c r="P868" s="46" t="str">
        <f>IFERROR(__xludf.DUMMYFUNCTION("IF(OR(AND(C868&lt;&gt;"""", LEN(C868)&lt;3), LEN(C868)&gt;60, AND(D868&lt;&gt;"""", NOT(ISNUMBER(D868))), AND(ISNUMBER(D868), OR(D868&lt;0.01, D868&gt;999999999)), AND(COUNTA(D868:F868, H868:N868)&gt;0, C868=""""),                  
  AND(COUNTA(C868, H868:N868)&gt;0, D868=""""), LEN("&amp;"H868)&gt;50, AND(I868&lt;&gt;"""", NOT(ISNUMBER(I868))), AND(ISNUMBER(I868), OR(I868&lt;0, I868&gt;99998)), AND(L868&lt;&gt;"""", NOT(REGEXMATCH(L868&amp;"""", ""^\d{8,14}$"")))), ""Erro"", """")"),"")</f>
      </c>
    </row>
    <row r="869" ht="15.75" customHeight="true">
      <c r="A869" s="33"/>
      <c r="B869" s="34" t="str">
        <f t="shared" si="1"/>
      </c>
      <c r="C869" s="35"/>
      <c r="D869" s="36"/>
      <c r="E869" s="37"/>
      <c r="F869" s="38"/>
      <c r="G869" s="39" t="str">
        <f t="shared" si="2"/>
      </c>
      <c r="H869" s="40"/>
      <c r="I869" s="41"/>
      <c r="J869" s="41"/>
      <c r="K869" s="41"/>
      <c r="L869" s="42"/>
      <c r="M869" s="43"/>
      <c r="N869" s="44"/>
      <c r="O869" s="45"/>
      <c r="P869" s="46" t="str">
        <f>IFERROR(__xludf.DUMMYFUNCTION("IF(OR(AND(C869&lt;&gt;"""", LEN(C869)&lt;3), LEN(C869)&gt;60, AND(D869&lt;&gt;"""", NOT(ISNUMBER(D869))), AND(ISNUMBER(D869), OR(D869&lt;0.01, D869&gt;999999999)), AND(COUNTA(D869:F869, H869:N869)&gt;0, C869=""""),                  
  AND(COUNTA(C869, H869:N869)&gt;0, D869=""""), LEN("&amp;"H869)&gt;50, AND(I869&lt;&gt;"""", NOT(ISNUMBER(I869))), AND(ISNUMBER(I869), OR(I869&lt;0, I869&gt;99998)), AND(L869&lt;&gt;"""", NOT(REGEXMATCH(L869&amp;"""", ""^\d{8,14}$"")))), ""Erro"", """")"),"")</f>
      </c>
    </row>
    <row r="870" ht="15.75" customHeight="true">
      <c r="A870" s="33"/>
      <c r="B870" s="34" t="str">
        <f t="shared" si="1"/>
      </c>
      <c r="C870" s="35"/>
      <c r="D870" s="36"/>
      <c r="E870" s="37"/>
      <c r="F870" s="38"/>
      <c r="G870" s="39" t="str">
        <f t="shared" si="2"/>
      </c>
      <c r="H870" s="40"/>
      <c r="I870" s="41"/>
      <c r="J870" s="41"/>
      <c r="K870" s="41"/>
      <c r="L870" s="42"/>
      <c r="M870" s="43"/>
      <c r="N870" s="44"/>
      <c r="O870" s="45"/>
      <c r="P870" s="46" t="str">
        <f>IFERROR(__xludf.DUMMYFUNCTION("IF(OR(AND(C870&lt;&gt;"""", LEN(C870)&lt;3), LEN(C870)&gt;60, AND(D870&lt;&gt;"""", NOT(ISNUMBER(D870))), AND(ISNUMBER(D870), OR(D870&lt;0.01, D870&gt;999999999)), AND(COUNTA(D870:F870, H870:N870)&gt;0, C870=""""),                  
  AND(COUNTA(C870, H870:N870)&gt;0, D870=""""), LEN("&amp;"H870)&gt;50, AND(I870&lt;&gt;"""", NOT(ISNUMBER(I870))), AND(ISNUMBER(I870), OR(I870&lt;0, I870&gt;99998)), AND(L870&lt;&gt;"""", NOT(REGEXMATCH(L870&amp;"""", ""^\d{8,14}$"")))), ""Erro"", """")"),"")</f>
      </c>
    </row>
    <row r="871" ht="15.75" customHeight="true">
      <c r="A871" s="33"/>
      <c r="B871" s="34" t="str">
        <f t="shared" si="1"/>
      </c>
      <c r="C871" s="35"/>
      <c r="D871" s="36"/>
      <c r="E871" s="37"/>
      <c r="F871" s="38"/>
      <c r="G871" s="39" t="str">
        <f t="shared" si="2"/>
      </c>
      <c r="H871" s="40"/>
      <c r="I871" s="41"/>
      <c r="J871" s="41"/>
      <c r="K871" s="41"/>
      <c r="L871" s="42"/>
      <c r="M871" s="43"/>
      <c r="N871" s="44"/>
      <c r="O871" s="45"/>
      <c r="P871" s="46" t="str">
        <f>IFERROR(__xludf.DUMMYFUNCTION("IF(OR(AND(C871&lt;&gt;"""", LEN(C871)&lt;3), LEN(C871)&gt;60, AND(D871&lt;&gt;"""", NOT(ISNUMBER(D871))), AND(ISNUMBER(D871), OR(D871&lt;0.01, D871&gt;999999999)), AND(COUNTA(D871:F871, H871:N871)&gt;0, C871=""""),                  
  AND(COUNTA(C871, H871:N871)&gt;0, D871=""""), LEN("&amp;"H871)&gt;50, AND(I871&lt;&gt;"""", NOT(ISNUMBER(I871))), AND(ISNUMBER(I871), OR(I871&lt;0, I871&gt;99998)), AND(L871&lt;&gt;"""", NOT(REGEXMATCH(L871&amp;"""", ""^\d{8,14}$"")))), ""Erro"", """")"),"")</f>
      </c>
    </row>
    <row r="872" ht="15.75" customHeight="true">
      <c r="A872" s="33"/>
      <c r="B872" s="34" t="str">
        <f t="shared" si="1"/>
      </c>
      <c r="C872" s="35"/>
      <c r="D872" s="36"/>
      <c r="E872" s="37"/>
      <c r="F872" s="38"/>
      <c r="G872" s="39" t="str">
        <f t="shared" si="2"/>
      </c>
      <c r="H872" s="40"/>
      <c r="I872" s="41"/>
      <c r="J872" s="41"/>
      <c r="K872" s="41"/>
      <c r="L872" s="42"/>
      <c r="M872" s="43"/>
      <c r="N872" s="44"/>
      <c r="O872" s="45"/>
      <c r="P872" s="46" t="str">
        <f>IFERROR(__xludf.DUMMYFUNCTION("IF(OR(AND(C872&lt;&gt;"""", LEN(C872)&lt;3), LEN(C872)&gt;60, AND(D872&lt;&gt;"""", NOT(ISNUMBER(D872))), AND(ISNUMBER(D872), OR(D872&lt;0.01, D872&gt;999999999)), AND(COUNTA(D872:F872, H872:N872)&gt;0, C872=""""),                  
  AND(COUNTA(C872, H872:N872)&gt;0, D872=""""), LEN("&amp;"H872)&gt;50, AND(I872&lt;&gt;"""", NOT(ISNUMBER(I872))), AND(ISNUMBER(I872), OR(I872&lt;0, I872&gt;99998)), AND(L872&lt;&gt;"""", NOT(REGEXMATCH(L872&amp;"""", ""^\d{8,14}$"")))), ""Erro"", """")"),"")</f>
      </c>
    </row>
    <row r="873" ht="15.75" customHeight="true">
      <c r="A873" s="33"/>
      <c r="B873" s="34" t="str">
        <f t="shared" si="1"/>
      </c>
      <c r="C873" s="35"/>
      <c r="D873" s="36"/>
      <c r="E873" s="37"/>
      <c r="F873" s="38"/>
      <c r="G873" s="39" t="str">
        <f t="shared" si="2"/>
      </c>
      <c r="H873" s="40"/>
      <c r="I873" s="41"/>
      <c r="J873" s="41"/>
      <c r="K873" s="41"/>
      <c r="L873" s="42"/>
      <c r="M873" s="43"/>
      <c r="N873" s="44"/>
      <c r="O873" s="45"/>
      <c r="P873" s="46" t="str">
        <f>IFERROR(__xludf.DUMMYFUNCTION("IF(OR(AND(C873&lt;&gt;"""", LEN(C873)&lt;3), LEN(C873)&gt;60, AND(D873&lt;&gt;"""", NOT(ISNUMBER(D873))), AND(ISNUMBER(D873), OR(D873&lt;0.01, D873&gt;999999999)), AND(COUNTA(D873:F873, H873:N873)&gt;0, C873=""""),                  
  AND(COUNTA(C873, H873:N873)&gt;0, D873=""""), LEN("&amp;"H873)&gt;50, AND(I873&lt;&gt;"""", NOT(ISNUMBER(I873))), AND(ISNUMBER(I873), OR(I873&lt;0, I873&gt;99998)), AND(L873&lt;&gt;"""", NOT(REGEXMATCH(L873&amp;"""", ""^\d{8,14}$"")))), ""Erro"", """")"),"")</f>
      </c>
    </row>
    <row r="874" ht="15.75" customHeight="true">
      <c r="A874" s="33"/>
      <c r="B874" s="34" t="str">
        <f t="shared" si="1"/>
      </c>
      <c r="C874" s="35"/>
      <c r="D874" s="36"/>
      <c r="E874" s="37"/>
      <c r="F874" s="38"/>
      <c r="G874" s="39" t="str">
        <f t="shared" si="2"/>
      </c>
      <c r="H874" s="40"/>
      <c r="I874" s="41"/>
      <c r="J874" s="41"/>
      <c r="K874" s="41"/>
      <c r="L874" s="42"/>
      <c r="M874" s="43"/>
      <c r="N874" s="44"/>
      <c r="O874" s="45"/>
      <c r="P874" s="46" t="str">
        <f>IFERROR(__xludf.DUMMYFUNCTION("IF(OR(AND(C874&lt;&gt;"""", LEN(C874)&lt;3), LEN(C874)&gt;60, AND(D874&lt;&gt;"""", NOT(ISNUMBER(D874))), AND(ISNUMBER(D874), OR(D874&lt;0.01, D874&gt;999999999)), AND(COUNTA(D874:F874, H874:N874)&gt;0, C874=""""),                  
  AND(COUNTA(C874, H874:N874)&gt;0, D874=""""), LEN("&amp;"H874)&gt;50, AND(I874&lt;&gt;"""", NOT(ISNUMBER(I874))), AND(ISNUMBER(I874), OR(I874&lt;0, I874&gt;99998)), AND(L874&lt;&gt;"""", NOT(REGEXMATCH(L874&amp;"""", ""^\d{8,14}$"")))), ""Erro"", """")"),"")</f>
      </c>
    </row>
    <row r="875" ht="15.75" customHeight="true">
      <c r="A875" s="33"/>
      <c r="B875" s="34" t="str">
        <f t="shared" si="1"/>
      </c>
      <c r="C875" s="35"/>
      <c r="D875" s="36"/>
      <c r="E875" s="37"/>
      <c r="F875" s="38"/>
      <c r="G875" s="39" t="str">
        <f t="shared" si="2"/>
      </c>
      <c r="H875" s="40"/>
      <c r="I875" s="41"/>
      <c r="J875" s="41"/>
      <c r="K875" s="41"/>
      <c r="L875" s="42"/>
      <c r="M875" s="43"/>
      <c r="N875" s="44"/>
      <c r="O875" s="45"/>
      <c r="P875" s="46" t="str">
        <f>IFERROR(__xludf.DUMMYFUNCTION("IF(OR(AND(C875&lt;&gt;"""", LEN(C875)&lt;3), LEN(C875)&gt;60, AND(D875&lt;&gt;"""", NOT(ISNUMBER(D875))), AND(ISNUMBER(D875), OR(D875&lt;0.01, D875&gt;999999999)), AND(COUNTA(D875:F875, H875:N875)&gt;0, C875=""""),                  
  AND(COUNTA(C875, H875:N875)&gt;0, D875=""""), LEN("&amp;"H875)&gt;50, AND(I875&lt;&gt;"""", NOT(ISNUMBER(I875))), AND(ISNUMBER(I875), OR(I875&lt;0, I875&gt;99998)), AND(L875&lt;&gt;"""", NOT(REGEXMATCH(L875&amp;"""", ""^\d{8,14}$"")))), ""Erro"", """")"),"")</f>
      </c>
    </row>
    <row r="876" ht="15.75" customHeight="true">
      <c r="A876" s="33"/>
      <c r="B876" s="34" t="str">
        <f t="shared" si="1"/>
      </c>
      <c r="C876" s="35"/>
      <c r="D876" s="36"/>
      <c r="E876" s="37"/>
      <c r="F876" s="38"/>
      <c r="G876" s="39" t="str">
        <f t="shared" si="2"/>
      </c>
      <c r="H876" s="40"/>
      <c r="I876" s="41"/>
      <c r="J876" s="41"/>
      <c r="K876" s="41"/>
      <c r="L876" s="42"/>
      <c r="M876" s="43"/>
      <c r="N876" s="44"/>
      <c r="O876" s="45"/>
      <c r="P876" s="46" t="str">
        <f>IFERROR(__xludf.DUMMYFUNCTION("IF(OR(AND(C876&lt;&gt;"""", LEN(C876)&lt;3), LEN(C876)&gt;60, AND(D876&lt;&gt;"""", NOT(ISNUMBER(D876))), AND(ISNUMBER(D876), OR(D876&lt;0.01, D876&gt;999999999)), AND(COUNTA(D876:F876, H876:N876)&gt;0, C876=""""),                  
  AND(COUNTA(C876, H876:N876)&gt;0, D876=""""), LEN("&amp;"H876)&gt;50, AND(I876&lt;&gt;"""", NOT(ISNUMBER(I876))), AND(ISNUMBER(I876), OR(I876&lt;0, I876&gt;99998)), AND(L876&lt;&gt;"""", NOT(REGEXMATCH(L876&amp;"""", ""^\d{8,14}$"")))), ""Erro"", """")"),"")</f>
      </c>
    </row>
    <row r="877" ht="15.75" customHeight="true">
      <c r="A877" s="33"/>
      <c r="B877" s="34" t="str">
        <f t="shared" si="1"/>
      </c>
      <c r="C877" s="35"/>
      <c r="D877" s="36"/>
      <c r="E877" s="37"/>
      <c r="F877" s="38"/>
      <c r="G877" s="39" t="str">
        <f t="shared" si="2"/>
      </c>
      <c r="H877" s="40"/>
      <c r="I877" s="41"/>
      <c r="J877" s="41"/>
      <c r="K877" s="41"/>
      <c r="L877" s="42"/>
      <c r="M877" s="43"/>
      <c r="N877" s="44"/>
      <c r="O877" s="45"/>
      <c r="P877" s="46" t="str">
        <f>IFERROR(__xludf.DUMMYFUNCTION("IF(OR(AND(C877&lt;&gt;"""", LEN(C877)&lt;3), LEN(C877)&gt;60, AND(D877&lt;&gt;"""", NOT(ISNUMBER(D877))), AND(ISNUMBER(D877), OR(D877&lt;0.01, D877&gt;999999999)), AND(COUNTA(D877:F877, H877:N877)&gt;0, C877=""""),                  
  AND(COUNTA(C877, H877:N877)&gt;0, D877=""""), LEN("&amp;"H877)&gt;50, AND(I877&lt;&gt;"""", NOT(ISNUMBER(I877))), AND(ISNUMBER(I877), OR(I877&lt;0, I877&gt;99998)), AND(L877&lt;&gt;"""", NOT(REGEXMATCH(L877&amp;"""", ""^\d{8,14}$"")))), ""Erro"", """")"),"")</f>
      </c>
    </row>
    <row r="878" ht="15.75" customHeight="true">
      <c r="A878" s="33"/>
      <c r="B878" s="34" t="str">
        <f t="shared" si="1"/>
      </c>
      <c r="C878" s="35"/>
      <c r="D878" s="36"/>
      <c r="E878" s="37"/>
      <c r="F878" s="38"/>
      <c r="G878" s="39" t="str">
        <f t="shared" si="2"/>
      </c>
      <c r="H878" s="40"/>
      <c r="I878" s="41"/>
      <c r="J878" s="41"/>
      <c r="K878" s="41"/>
      <c r="L878" s="42"/>
      <c r="M878" s="43"/>
      <c r="N878" s="44"/>
      <c r="O878" s="45"/>
      <c r="P878" s="46" t="str">
        <f>IFERROR(__xludf.DUMMYFUNCTION("IF(OR(AND(C878&lt;&gt;"""", LEN(C878)&lt;3), LEN(C878)&gt;60, AND(D878&lt;&gt;"""", NOT(ISNUMBER(D878))), AND(ISNUMBER(D878), OR(D878&lt;0.01, D878&gt;999999999)), AND(COUNTA(D878:F878, H878:N878)&gt;0, C878=""""),                  
  AND(COUNTA(C878, H878:N878)&gt;0, D878=""""), LEN("&amp;"H878)&gt;50, AND(I878&lt;&gt;"""", NOT(ISNUMBER(I878))), AND(ISNUMBER(I878), OR(I878&lt;0, I878&gt;99998)), AND(L878&lt;&gt;"""", NOT(REGEXMATCH(L878&amp;"""", ""^\d{8,14}$"")))), ""Erro"", """")"),"")</f>
      </c>
    </row>
    <row r="879" ht="15.75" customHeight="true">
      <c r="A879" s="33"/>
      <c r="B879" s="34" t="str">
        <f t="shared" si="1"/>
      </c>
      <c r="C879" s="35"/>
      <c r="D879" s="36"/>
      <c r="E879" s="37"/>
      <c r="F879" s="38"/>
      <c r="G879" s="39" t="str">
        <f t="shared" si="2"/>
      </c>
      <c r="H879" s="40"/>
      <c r="I879" s="41"/>
      <c r="J879" s="41"/>
      <c r="K879" s="41"/>
      <c r="L879" s="42"/>
      <c r="M879" s="43"/>
      <c r="N879" s="44"/>
      <c r="O879" s="45"/>
      <c r="P879" s="46" t="str">
        <f>IFERROR(__xludf.DUMMYFUNCTION("IF(OR(AND(C879&lt;&gt;"""", LEN(C879)&lt;3), LEN(C879)&gt;60, AND(D879&lt;&gt;"""", NOT(ISNUMBER(D879))), AND(ISNUMBER(D879), OR(D879&lt;0.01, D879&gt;999999999)), AND(COUNTA(D879:F879, H879:N879)&gt;0, C879=""""),                  
  AND(COUNTA(C879, H879:N879)&gt;0, D879=""""), LEN("&amp;"H879)&gt;50, AND(I879&lt;&gt;"""", NOT(ISNUMBER(I879))), AND(ISNUMBER(I879), OR(I879&lt;0, I879&gt;99998)), AND(L879&lt;&gt;"""", NOT(REGEXMATCH(L879&amp;"""", ""^\d{8,14}$"")))), ""Erro"", """")"),"")</f>
      </c>
    </row>
    <row r="880" ht="15.75" customHeight="true">
      <c r="A880" s="33"/>
      <c r="B880" s="34" t="str">
        <f t="shared" si="1"/>
      </c>
      <c r="C880" s="35"/>
      <c r="D880" s="36"/>
      <c r="E880" s="37"/>
      <c r="F880" s="38"/>
      <c r="G880" s="39" t="str">
        <f t="shared" si="2"/>
      </c>
      <c r="H880" s="40"/>
      <c r="I880" s="41"/>
      <c r="J880" s="41"/>
      <c r="K880" s="41"/>
      <c r="L880" s="42"/>
      <c r="M880" s="43"/>
      <c r="N880" s="44"/>
      <c r="O880" s="45"/>
      <c r="P880" s="46" t="str">
        <f>IFERROR(__xludf.DUMMYFUNCTION("IF(OR(AND(C880&lt;&gt;"""", LEN(C880)&lt;3), LEN(C880)&gt;60, AND(D880&lt;&gt;"""", NOT(ISNUMBER(D880))), AND(ISNUMBER(D880), OR(D880&lt;0.01, D880&gt;999999999)), AND(COUNTA(D880:F880, H880:N880)&gt;0, C880=""""),                  
  AND(COUNTA(C880, H880:N880)&gt;0, D880=""""), LEN("&amp;"H880)&gt;50, AND(I880&lt;&gt;"""", NOT(ISNUMBER(I880))), AND(ISNUMBER(I880), OR(I880&lt;0, I880&gt;99998)), AND(L880&lt;&gt;"""", NOT(REGEXMATCH(L880&amp;"""", ""^\d{8,14}$"")))), ""Erro"", """")"),"")</f>
      </c>
    </row>
    <row r="881" ht="15.75" customHeight="true">
      <c r="A881" s="33"/>
      <c r="B881" s="34" t="str">
        <f t="shared" si="1"/>
      </c>
      <c r="C881" s="35"/>
      <c r="D881" s="36"/>
      <c r="E881" s="37"/>
      <c r="F881" s="38"/>
      <c r="G881" s="39" t="str">
        <f t="shared" si="2"/>
      </c>
      <c r="H881" s="40"/>
      <c r="I881" s="41"/>
      <c r="J881" s="41"/>
      <c r="K881" s="41"/>
      <c r="L881" s="42"/>
      <c r="M881" s="43"/>
      <c r="N881" s="44"/>
      <c r="O881" s="45"/>
      <c r="P881" s="46" t="str">
        <f>IFERROR(__xludf.DUMMYFUNCTION("IF(OR(AND(C881&lt;&gt;"""", LEN(C881)&lt;3), LEN(C881)&gt;60, AND(D881&lt;&gt;"""", NOT(ISNUMBER(D881))), AND(ISNUMBER(D881), OR(D881&lt;0.01, D881&gt;999999999)), AND(COUNTA(D881:F881, H881:N881)&gt;0, C881=""""),                  
  AND(COUNTA(C881, H881:N881)&gt;0, D881=""""), LEN("&amp;"H881)&gt;50, AND(I881&lt;&gt;"""", NOT(ISNUMBER(I881))), AND(ISNUMBER(I881), OR(I881&lt;0, I881&gt;99998)), AND(L881&lt;&gt;"""", NOT(REGEXMATCH(L881&amp;"""", ""^\d{8,14}$"")))), ""Erro"", """")"),"")</f>
      </c>
    </row>
    <row r="882" ht="15.75" customHeight="true">
      <c r="A882" s="33"/>
      <c r="B882" s="34" t="str">
        <f t="shared" si="1"/>
      </c>
      <c r="C882" s="35"/>
      <c r="D882" s="36"/>
      <c r="E882" s="37"/>
      <c r="F882" s="38"/>
      <c r="G882" s="39" t="str">
        <f t="shared" si="2"/>
      </c>
      <c r="H882" s="40"/>
      <c r="I882" s="41"/>
      <c r="J882" s="41"/>
      <c r="K882" s="41"/>
      <c r="L882" s="42"/>
      <c r="M882" s="43"/>
      <c r="N882" s="44"/>
      <c r="O882" s="45"/>
      <c r="P882" s="46" t="str">
        <f>IFERROR(__xludf.DUMMYFUNCTION("IF(OR(AND(C882&lt;&gt;"""", LEN(C882)&lt;3), LEN(C882)&gt;60, AND(D882&lt;&gt;"""", NOT(ISNUMBER(D882))), AND(ISNUMBER(D882), OR(D882&lt;0.01, D882&gt;999999999)), AND(COUNTA(D882:F882, H882:N882)&gt;0, C882=""""),                  
  AND(COUNTA(C882, H882:N882)&gt;0, D882=""""), LEN("&amp;"H882)&gt;50, AND(I882&lt;&gt;"""", NOT(ISNUMBER(I882))), AND(ISNUMBER(I882), OR(I882&lt;0, I882&gt;99998)), AND(L882&lt;&gt;"""", NOT(REGEXMATCH(L882&amp;"""", ""^\d{8,14}$"")))), ""Erro"", """")"),"")</f>
      </c>
    </row>
    <row r="883" ht="15.75" customHeight="true">
      <c r="A883" s="33"/>
      <c r="B883" s="34" t="str">
        <f t="shared" si="1"/>
      </c>
      <c r="C883" s="35"/>
      <c r="D883" s="36"/>
      <c r="E883" s="37"/>
      <c r="F883" s="38"/>
      <c r="G883" s="39" t="str">
        <f t="shared" si="2"/>
      </c>
      <c r="H883" s="40"/>
      <c r="I883" s="41"/>
      <c r="J883" s="41"/>
      <c r="K883" s="41"/>
      <c r="L883" s="42"/>
      <c r="M883" s="43"/>
      <c r="N883" s="44"/>
      <c r="O883" s="45"/>
      <c r="P883" s="46" t="str">
        <f>IFERROR(__xludf.DUMMYFUNCTION("IF(OR(AND(C883&lt;&gt;"""", LEN(C883)&lt;3), LEN(C883)&gt;60, AND(D883&lt;&gt;"""", NOT(ISNUMBER(D883))), AND(ISNUMBER(D883), OR(D883&lt;0.01, D883&gt;999999999)), AND(COUNTA(D883:F883, H883:N883)&gt;0, C883=""""),                  
  AND(COUNTA(C883, H883:N883)&gt;0, D883=""""), LEN("&amp;"H883)&gt;50, AND(I883&lt;&gt;"""", NOT(ISNUMBER(I883))), AND(ISNUMBER(I883), OR(I883&lt;0, I883&gt;99998)), AND(L883&lt;&gt;"""", NOT(REGEXMATCH(L883&amp;"""", ""^\d{8,14}$"")))), ""Erro"", """")"),"")</f>
      </c>
    </row>
    <row r="884" ht="15.75" customHeight="true">
      <c r="A884" s="33"/>
      <c r="B884" s="34" t="str">
        <f t="shared" si="1"/>
      </c>
      <c r="C884" s="35"/>
      <c r="D884" s="36"/>
      <c r="E884" s="37"/>
      <c r="F884" s="38"/>
      <c r="G884" s="39" t="str">
        <f t="shared" si="2"/>
      </c>
      <c r="H884" s="40"/>
      <c r="I884" s="41"/>
      <c r="J884" s="41"/>
      <c r="K884" s="41"/>
      <c r="L884" s="42"/>
      <c r="M884" s="43"/>
      <c r="N884" s="44"/>
      <c r="O884" s="45"/>
      <c r="P884" s="46" t="str">
        <f>IFERROR(__xludf.DUMMYFUNCTION("IF(OR(AND(C884&lt;&gt;"""", LEN(C884)&lt;3), LEN(C884)&gt;60, AND(D884&lt;&gt;"""", NOT(ISNUMBER(D884))), AND(ISNUMBER(D884), OR(D884&lt;0.01, D884&gt;999999999)), AND(COUNTA(D884:F884, H884:N884)&gt;0, C884=""""),                  
  AND(COUNTA(C884, H884:N884)&gt;0, D884=""""), LEN("&amp;"H884)&gt;50, AND(I884&lt;&gt;"""", NOT(ISNUMBER(I884))), AND(ISNUMBER(I884), OR(I884&lt;0, I884&gt;99998)), AND(L884&lt;&gt;"""", NOT(REGEXMATCH(L884&amp;"""", ""^\d{8,14}$"")))), ""Erro"", """")"),"")</f>
      </c>
    </row>
    <row r="885" ht="15.75" customHeight="true">
      <c r="A885" s="33"/>
      <c r="B885" s="34" t="str">
        <f t="shared" si="1"/>
      </c>
      <c r="C885" s="35"/>
      <c r="D885" s="36"/>
      <c r="E885" s="37"/>
      <c r="F885" s="38"/>
      <c r="G885" s="39" t="str">
        <f t="shared" si="2"/>
      </c>
      <c r="H885" s="40"/>
      <c r="I885" s="41"/>
      <c r="J885" s="41"/>
      <c r="K885" s="41"/>
      <c r="L885" s="42"/>
      <c r="M885" s="43"/>
      <c r="N885" s="44"/>
      <c r="O885" s="45"/>
      <c r="P885" s="46" t="str">
        <f>IFERROR(__xludf.DUMMYFUNCTION("IF(OR(AND(C885&lt;&gt;"""", LEN(C885)&lt;3), LEN(C885)&gt;60, AND(D885&lt;&gt;"""", NOT(ISNUMBER(D885))), AND(ISNUMBER(D885), OR(D885&lt;0.01, D885&gt;999999999)), AND(COUNTA(D885:F885, H885:N885)&gt;0, C885=""""),                  
  AND(COUNTA(C885, H885:N885)&gt;0, D885=""""), LEN("&amp;"H885)&gt;50, AND(I885&lt;&gt;"""", NOT(ISNUMBER(I885))), AND(ISNUMBER(I885), OR(I885&lt;0, I885&gt;99998)), AND(L885&lt;&gt;"""", NOT(REGEXMATCH(L885&amp;"""", ""^\d{8,14}$"")))), ""Erro"", """")"),"")</f>
      </c>
    </row>
    <row r="886" ht="15.75" customHeight="true">
      <c r="A886" s="33"/>
      <c r="B886" s="34" t="str">
        <f t="shared" si="1"/>
      </c>
      <c r="C886" s="35"/>
      <c r="D886" s="36"/>
      <c r="E886" s="37"/>
      <c r="F886" s="38"/>
      <c r="G886" s="39" t="str">
        <f t="shared" si="2"/>
      </c>
      <c r="H886" s="40"/>
      <c r="I886" s="41"/>
      <c r="J886" s="41"/>
      <c r="K886" s="41"/>
      <c r="L886" s="42"/>
      <c r="M886" s="43"/>
      <c r="N886" s="44"/>
      <c r="O886" s="45"/>
      <c r="P886" s="46" t="str">
        <f>IFERROR(__xludf.DUMMYFUNCTION("IF(OR(AND(C886&lt;&gt;"""", LEN(C886)&lt;3), LEN(C886)&gt;60, AND(D886&lt;&gt;"""", NOT(ISNUMBER(D886))), AND(ISNUMBER(D886), OR(D886&lt;0.01, D886&gt;999999999)), AND(COUNTA(D886:F886, H886:N886)&gt;0, C886=""""),                  
  AND(COUNTA(C886, H886:N886)&gt;0, D886=""""), LEN("&amp;"H886)&gt;50, AND(I886&lt;&gt;"""", NOT(ISNUMBER(I886))), AND(ISNUMBER(I886), OR(I886&lt;0, I886&gt;99998)), AND(L886&lt;&gt;"""", NOT(REGEXMATCH(L886&amp;"""", ""^\d{8,14}$"")))), ""Erro"", """")"),"")</f>
      </c>
    </row>
    <row r="887" ht="15.75" customHeight="true">
      <c r="A887" s="33"/>
      <c r="B887" s="34" t="str">
        <f t="shared" si="1"/>
      </c>
      <c r="C887" s="35"/>
      <c r="D887" s="36"/>
      <c r="E887" s="37"/>
      <c r="F887" s="38"/>
      <c r="G887" s="39" t="str">
        <f t="shared" si="2"/>
      </c>
      <c r="H887" s="40"/>
      <c r="I887" s="41"/>
      <c r="J887" s="41"/>
      <c r="K887" s="41"/>
      <c r="L887" s="42"/>
      <c r="M887" s="43"/>
      <c r="N887" s="44"/>
      <c r="O887" s="45"/>
      <c r="P887" s="46" t="str">
        <f>IFERROR(__xludf.DUMMYFUNCTION("IF(OR(AND(C887&lt;&gt;"""", LEN(C887)&lt;3), LEN(C887)&gt;60, AND(D887&lt;&gt;"""", NOT(ISNUMBER(D887))), AND(ISNUMBER(D887), OR(D887&lt;0.01, D887&gt;999999999)), AND(COUNTA(D887:F887, H887:N887)&gt;0, C887=""""),                  
  AND(COUNTA(C887, H887:N887)&gt;0, D887=""""), LEN("&amp;"H887)&gt;50, AND(I887&lt;&gt;"""", NOT(ISNUMBER(I887))), AND(ISNUMBER(I887), OR(I887&lt;0, I887&gt;99998)), AND(L887&lt;&gt;"""", NOT(REGEXMATCH(L887&amp;"""", ""^\d{8,14}$"")))), ""Erro"", """")"),"")</f>
      </c>
    </row>
    <row r="888" ht="15.75" customHeight="true">
      <c r="A888" s="33"/>
      <c r="B888" s="34" t="str">
        <f t="shared" si="1"/>
      </c>
      <c r="C888" s="35"/>
      <c r="D888" s="36"/>
      <c r="E888" s="37"/>
      <c r="F888" s="38"/>
      <c r="G888" s="39" t="str">
        <f t="shared" si="2"/>
      </c>
      <c r="H888" s="40"/>
      <c r="I888" s="41"/>
      <c r="J888" s="41"/>
      <c r="K888" s="41"/>
      <c r="L888" s="42"/>
      <c r="M888" s="43"/>
      <c r="N888" s="44"/>
      <c r="O888" s="45"/>
      <c r="P888" s="46" t="str">
        <f>IFERROR(__xludf.DUMMYFUNCTION("IF(OR(AND(C888&lt;&gt;"""", LEN(C888)&lt;3), LEN(C888)&gt;60, AND(D888&lt;&gt;"""", NOT(ISNUMBER(D888))), AND(ISNUMBER(D888), OR(D888&lt;0.01, D888&gt;999999999)), AND(COUNTA(D888:F888, H888:N888)&gt;0, C888=""""),                  
  AND(COUNTA(C888, H888:N888)&gt;0, D888=""""), LEN("&amp;"H888)&gt;50, AND(I888&lt;&gt;"""", NOT(ISNUMBER(I888))), AND(ISNUMBER(I888), OR(I888&lt;0, I888&gt;99998)), AND(L888&lt;&gt;"""", NOT(REGEXMATCH(L888&amp;"""", ""^\d{8,14}$"")))), ""Erro"", """")"),"")</f>
      </c>
    </row>
    <row r="889" ht="15.75" customHeight="true">
      <c r="A889" s="33"/>
      <c r="B889" s="34" t="str">
        <f t="shared" si="1"/>
      </c>
      <c r="C889" s="35"/>
      <c r="D889" s="36"/>
      <c r="E889" s="37"/>
      <c r="F889" s="38"/>
      <c r="G889" s="39" t="str">
        <f t="shared" si="2"/>
      </c>
      <c r="H889" s="40"/>
      <c r="I889" s="41"/>
      <c r="J889" s="41"/>
      <c r="K889" s="41"/>
      <c r="L889" s="42"/>
      <c r="M889" s="43"/>
      <c r="N889" s="44"/>
      <c r="O889" s="45"/>
      <c r="P889" s="46" t="str">
        <f>IFERROR(__xludf.DUMMYFUNCTION("IF(OR(AND(C889&lt;&gt;"""", LEN(C889)&lt;3), LEN(C889)&gt;60, AND(D889&lt;&gt;"""", NOT(ISNUMBER(D889))), AND(ISNUMBER(D889), OR(D889&lt;0.01, D889&gt;999999999)), AND(COUNTA(D889:F889, H889:N889)&gt;0, C889=""""),                  
  AND(COUNTA(C889, H889:N889)&gt;0, D889=""""), LEN("&amp;"H889)&gt;50, AND(I889&lt;&gt;"""", NOT(ISNUMBER(I889))), AND(ISNUMBER(I889), OR(I889&lt;0, I889&gt;99998)), AND(L889&lt;&gt;"""", NOT(REGEXMATCH(L889&amp;"""", ""^\d{8,14}$"")))), ""Erro"", """")"),"")</f>
      </c>
    </row>
    <row r="890" ht="15.75" customHeight="true">
      <c r="A890" s="33"/>
      <c r="B890" s="34" t="str">
        <f t="shared" si="1"/>
      </c>
      <c r="C890" s="35"/>
      <c r="D890" s="36"/>
      <c r="E890" s="37"/>
      <c r="F890" s="38"/>
      <c r="G890" s="39" t="str">
        <f t="shared" si="2"/>
      </c>
      <c r="H890" s="40"/>
      <c r="I890" s="41"/>
      <c r="J890" s="41"/>
      <c r="K890" s="41"/>
      <c r="L890" s="42"/>
      <c r="M890" s="43"/>
      <c r="N890" s="44"/>
      <c r="O890" s="45"/>
      <c r="P890" s="46" t="str">
        <f>IFERROR(__xludf.DUMMYFUNCTION("IF(OR(AND(C890&lt;&gt;"""", LEN(C890)&lt;3), LEN(C890)&gt;60, AND(D890&lt;&gt;"""", NOT(ISNUMBER(D890))), AND(ISNUMBER(D890), OR(D890&lt;0.01, D890&gt;999999999)), AND(COUNTA(D890:F890, H890:N890)&gt;0, C890=""""),                  
  AND(COUNTA(C890, H890:N890)&gt;0, D890=""""), LEN("&amp;"H890)&gt;50, AND(I890&lt;&gt;"""", NOT(ISNUMBER(I890))), AND(ISNUMBER(I890), OR(I890&lt;0, I890&gt;99998)), AND(L890&lt;&gt;"""", NOT(REGEXMATCH(L890&amp;"""", ""^\d{8,14}$"")))), ""Erro"", """")"),"")</f>
      </c>
    </row>
    <row r="891" ht="15.75" customHeight="true">
      <c r="A891" s="33"/>
      <c r="B891" s="34" t="str">
        <f t="shared" si="1"/>
      </c>
      <c r="C891" s="35"/>
      <c r="D891" s="36"/>
      <c r="E891" s="37"/>
      <c r="F891" s="38"/>
      <c r="G891" s="39" t="str">
        <f t="shared" si="2"/>
      </c>
      <c r="H891" s="40"/>
      <c r="I891" s="41"/>
      <c r="J891" s="41"/>
      <c r="K891" s="41"/>
      <c r="L891" s="42"/>
      <c r="M891" s="43"/>
      <c r="N891" s="44"/>
      <c r="O891" s="45"/>
      <c r="P891" s="46" t="str">
        <f>IFERROR(__xludf.DUMMYFUNCTION("IF(OR(AND(C891&lt;&gt;"""", LEN(C891)&lt;3), LEN(C891)&gt;60, AND(D891&lt;&gt;"""", NOT(ISNUMBER(D891))), AND(ISNUMBER(D891), OR(D891&lt;0.01, D891&gt;999999999)), AND(COUNTA(D891:F891, H891:N891)&gt;0, C891=""""),                  
  AND(COUNTA(C891, H891:N891)&gt;0, D891=""""), LEN("&amp;"H891)&gt;50, AND(I891&lt;&gt;"""", NOT(ISNUMBER(I891))), AND(ISNUMBER(I891), OR(I891&lt;0, I891&gt;99998)), AND(L891&lt;&gt;"""", NOT(REGEXMATCH(L891&amp;"""", ""^\d{8,14}$"")))), ""Erro"", """")"),"")</f>
      </c>
    </row>
    <row r="892" ht="15.75" customHeight="true">
      <c r="A892" s="33"/>
      <c r="B892" s="34" t="str">
        <f t="shared" si="1"/>
      </c>
      <c r="C892" s="35"/>
      <c r="D892" s="36"/>
      <c r="E892" s="37"/>
      <c r="F892" s="38"/>
      <c r="G892" s="39" t="str">
        <f t="shared" si="2"/>
      </c>
      <c r="H892" s="40"/>
      <c r="I892" s="41"/>
      <c r="J892" s="41"/>
      <c r="K892" s="41"/>
      <c r="L892" s="42"/>
      <c r="M892" s="43"/>
      <c r="N892" s="44"/>
      <c r="O892" s="45"/>
      <c r="P892" s="46" t="str">
        <f>IFERROR(__xludf.DUMMYFUNCTION("IF(OR(AND(C892&lt;&gt;"""", LEN(C892)&lt;3), LEN(C892)&gt;60, AND(D892&lt;&gt;"""", NOT(ISNUMBER(D892))), AND(ISNUMBER(D892), OR(D892&lt;0.01, D892&gt;999999999)), AND(COUNTA(D892:F892, H892:N892)&gt;0, C892=""""),                  
  AND(COUNTA(C892, H892:N892)&gt;0, D892=""""), LEN("&amp;"H892)&gt;50, AND(I892&lt;&gt;"""", NOT(ISNUMBER(I892))), AND(ISNUMBER(I892), OR(I892&lt;0, I892&gt;99998)), AND(L892&lt;&gt;"""", NOT(REGEXMATCH(L892&amp;"""", ""^\d{8,14}$"")))), ""Erro"", """")"),"")</f>
      </c>
    </row>
    <row r="893" ht="15.75" customHeight="true">
      <c r="A893" s="33"/>
      <c r="B893" s="34" t="str">
        <f t="shared" si="1"/>
      </c>
      <c r="C893" s="35"/>
      <c r="D893" s="36"/>
      <c r="E893" s="37"/>
      <c r="F893" s="38"/>
      <c r="G893" s="39" t="str">
        <f t="shared" si="2"/>
      </c>
      <c r="H893" s="40"/>
      <c r="I893" s="41"/>
      <c r="J893" s="41"/>
      <c r="K893" s="41"/>
      <c r="L893" s="42"/>
      <c r="M893" s="43"/>
      <c r="N893" s="44"/>
      <c r="O893" s="45"/>
      <c r="P893" s="46" t="str">
        <f>IFERROR(__xludf.DUMMYFUNCTION("IF(OR(AND(C893&lt;&gt;"""", LEN(C893)&lt;3), LEN(C893)&gt;60, AND(D893&lt;&gt;"""", NOT(ISNUMBER(D893))), AND(ISNUMBER(D893), OR(D893&lt;0.01, D893&gt;999999999)), AND(COUNTA(D893:F893, H893:N893)&gt;0, C893=""""),                  
  AND(COUNTA(C893, H893:N893)&gt;0, D893=""""), LEN("&amp;"H893)&gt;50, AND(I893&lt;&gt;"""", NOT(ISNUMBER(I893))), AND(ISNUMBER(I893), OR(I893&lt;0, I893&gt;99998)), AND(L893&lt;&gt;"""", NOT(REGEXMATCH(L893&amp;"""", ""^\d{8,14}$"")))), ""Erro"", """")"),"")</f>
      </c>
    </row>
    <row r="894" ht="15.75" customHeight="true">
      <c r="A894" s="33"/>
      <c r="B894" s="34" t="str">
        <f t="shared" si="1"/>
      </c>
      <c r="C894" s="35"/>
      <c r="D894" s="36"/>
      <c r="E894" s="37"/>
      <c r="F894" s="38"/>
      <c r="G894" s="39" t="str">
        <f t="shared" si="2"/>
      </c>
      <c r="H894" s="40"/>
      <c r="I894" s="41"/>
      <c r="J894" s="41"/>
      <c r="K894" s="41"/>
      <c r="L894" s="42"/>
      <c r="M894" s="43"/>
      <c r="N894" s="44"/>
      <c r="O894" s="45"/>
      <c r="P894" s="46" t="str">
        <f>IFERROR(__xludf.DUMMYFUNCTION("IF(OR(AND(C894&lt;&gt;"""", LEN(C894)&lt;3), LEN(C894)&gt;60, AND(D894&lt;&gt;"""", NOT(ISNUMBER(D894))), AND(ISNUMBER(D894), OR(D894&lt;0.01, D894&gt;999999999)), AND(COUNTA(D894:F894, H894:N894)&gt;0, C894=""""),                  
  AND(COUNTA(C894, H894:N894)&gt;0, D894=""""), LEN("&amp;"H894)&gt;50, AND(I894&lt;&gt;"""", NOT(ISNUMBER(I894))), AND(ISNUMBER(I894), OR(I894&lt;0, I894&gt;99998)), AND(L894&lt;&gt;"""", NOT(REGEXMATCH(L894&amp;"""", ""^\d{8,14}$"")))), ""Erro"", """")"),"")</f>
      </c>
    </row>
    <row r="895" ht="15.75" customHeight="true">
      <c r="A895" s="33"/>
      <c r="B895" s="34" t="str">
        <f t="shared" si="1"/>
      </c>
      <c r="C895" s="35"/>
      <c r="D895" s="36"/>
      <c r="E895" s="37"/>
      <c r="F895" s="38"/>
      <c r="G895" s="39" t="str">
        <f t="shared" si="2"/>
      </c>
      <c r="H895" s="40"/>
      <c r="I895" s="41"/>
      <c r="J895" s="41"/>
      <c r="K895" s="41"/>
      <c r="L895" s="42"/>
      <c r="M895" s="43"/>
      <c r="N895" s="44"/>
      <c r="O895" s="45"/>
      <c r="P895" s="46" t="str">
        <f>IFERROR(__xludf.DUMMYFUNCTION("IF(OR(AND(C895&lt;&gt;"""", LEN(C895)&lt;3), LEN(C895)&gt;60, AND(D895&lt;&gt;"""", NOT(ISNUMBER(D895))), AND(ISNUMBER(D895), OR(D895&lt;0.01, D895&gt;999999999)), AND(COUNTA(D895:F895, H895:N895)&gt;0, C895=""""),                  
  AND(COUNTA(C895, H895:N895)&gt;0, D895=""""), LEN("&amp;"H895)&gt;50, AND(I895&lt;&gt;"""", NOT(ISNUMBER(I895))), AND(ISNUMBER(I895), OR(I895&lt;0, I895&gt;99998)), AND(L895&lt;&gt;"""", NOT(REGEXMATCH(L895&amp;"""", ""^\d{8,14}$"")))), ""Erro"", """")"),"")</f>
      </c>
    </row>
    <row r="896" ht="15.75" customHeight="true">
      <c r="A896" s="33"/>
      <c r="B896" s="34" t="str">
        <f t="shared" si="1"/>
      </c>
      <c r="C896" s="35"/>
      <c r="D896" s="36"/>
      <c r="E896" s="37"/>
      <c r="F896" s="38"/>
      <c r="G896" s="39" t="str">
        <f t="shared" si="2"/>
      </c>
      <c r="H896" s="40"/>
      <c r="I896" s="41"/>
      <c r="J896" s="41"/>
      <c r="K896" s="41"/>
      <c r="L896" s="42"/>
      <c r="M896" s="43"/>
      <c r="N896" s="44"/>
      <c r="O896" s="45"/>
      <c r="P896" s="46" t="str">
        <f>IFERROR(__xludf.DUMMYFUNCTION("IF(OR(AND(C896&lt;&gt;"""", LEN(C896)&lt;3), LEN(C896)&gt;60, AND(D896&lt;&gt;"""", NOT(ISNUMBER(D896))), AND(ISNUMBER(D896), OR(D896&lt;0.01, D896&gt;999999999)), AND(COUNTA(D896:F896, H896:N896)&gt;0, C896=""""),                  
  AND(COUNTA(C896, H896:N896)&gt;0, D896=""""), LEN("&amp;"H896)&gt;50, AND(I896&lt;&gt;"""", NOT(ISNUMBER(I896))), AND(ISNUMBER(I896), OR(I896&lt;0, I896&gt;99998)), AND(L896&lt;&gt;"""", NOT(REGEXMATCH(L896&amp;"""", ""^\d{8,14}$"")))), ""Erro"", """")"),"")</f>
      </c>
    </row>
    <row r="897" ht="15.75" customHeight="true">
      <c r="A897" s="33"/>
      <c r="B897" s="34" t="str">
        <f t="shared" si="1"/>
      </c>
      <c r="C897" s="35"/>
      <c r="D897" s="36"/>
      <c r="E897" s="37"/>
      <c r="F897" s="38"/>
      <c r="G897" s="39" t="str">
        <f t="shared" si="2"/>
      </c>
      <c r="H897" s="40"/>
      <c r="I897" s="41"/>
      <c r="J897" s="41"/>
      <c r="K897" s="41"/>
      <c r="L897" s="42"/>
      <c r="M897" s="43"/>
      <c r="N897" s="44"/>
      <c r="O897" s="45"/>
      <c r="P897" s="46" t="str">
        <f>IFERROR(__xludf.DUMMYFUNCTION("IF(OR(AND(C897&lt;&gt;"""", LEN(C897)&lt;3), LEN(C897)&gt;60, AND(D897&lt;&gt;"""", NOT(ISNUMBER(D897))), AND(ISNUMBER(D897), OR(D897&lt;0.01, D897&gt;999999999)), AND(COUNTA(D897:F897, H897:N897)&gt;0, C897=""""),                  
  AND(COUNTA(C897, H897:N897)&gt;0, D897=""""), LEN("&amp;"H897)&gt;50, AND(I897&lt;&gt;"""", NOT(ISNUMBER(I897))), AND(ISNUMBER(I897), OR(I897&lt;0, I897&gt;99998)), AND(L897&lt;&gt;"""", NOT(REGEXMATCH(L897&amp;"""", ""^\d{8,14}$"")))), ""Erro"", """")"),"")</f>
      </c>
    </row>
    <row r="898" ht="15.75" customHeight="true">
      <c r="A898" s="33"/>
      <c r="B898" s="34" t="str">
        <f t="shared" si="1"/>
      </c>
      <c r="C898" s="35"/>
      <c r="D898" s="36"/>
      <c r="E898" s="37"/>
      <c r="F898" s="38"/>
      <c r="G898" s="39" t="str">
        <f t="shared" si="2"/>
      </c>
      <c r="H898" s="40"/>
      <c r="I898" s="41"/>
      <c r="J898" s="41"/>
      <c r="K898" s="41"/>
      <c r="L898" s="42"/>
      <c r="M898" s="43"/>
      <c r="N898" s="44"/>
      <c r="O898" s="45"/>
      <c r="P898" s="46" t="str">
        <f>IFERROR(__xludf.DUMMYFUNCTION("IF(OR(AND(C898&lt;&gt;"""", LEN(C898)&lt;3), LEN(C898)&gt;60, AND(D898&lt;&gt;"""", NOT(ISNUMBER(D898))), AND(ISNUMBER(D898), OR(D898&lt;0.01, D898&gt;999999999)), AND(COUNTA(D898:F898, H898:N898)&gt;0, C898=""""),                  
  AND(COUNTA(C898, H898:N898)&gt;0, D898=""""), LEN("&amp;"H898)&gt;50, AND(I898&lt;&gt;"""", NOT(ISNUMBER(I898))), AND(ISNUMBER(I898), OR(I898&lt;0, I898&gt;99998)), AND(L898&lt;&gt;"""", NOT(REGEXMATCH(L898&amp;"""", ""^\d{8,14}$"")))), ""Erro"", """")"),"")</f>
      </c>
    </row>
    <row r="899" ht="15.75" customHeight="true">
      <c r="A899" s="33"/>
      <c r="B899" s="34" t="str">
        <f t="shared" si="1"/>
      </c>
      <c r="C899" s="35"/>
      <c r="D899" s="36"/>
      <c r="E899" s="37"/>
      <c r="F899" s="38"/>
      <c r="G899" s="39" t="str">
        <f t="shared" si="2"/>
      </c>
      <c r="H899" s="40"/>
      <c r="I899" s="41"/>
      <c r="J899" s="41"/>
      <c r="K899" s="41"/>
      <c r="L899" s="42"/>
      <c r="M899" s="43"/>
      <c r="N899" s="44"/>
      <c r="O899" s="45"/>
      <c r="P899" s="46" t="str">
        <f>IFERROR(__xludf.DUMMYFUNCTION("IF(OR(AND(C899&lt;&gt;"""", LEN(C899)&lt;3), LEN(C899)&gt;60, AND(D899&lt;&gt;"""", NOT(ISNUMBER(D899))), AND(ISNUMBER(D899), OR(D899&lt;0.01, D899&gt;999999999)), AND(COUNTA(D899:F899, H899:N899)&gt;0, C899=""""),                  
  AND(COUNTA(C899, H899:N899)&gt;0, D899=""""), LEN("&amp;"H899)&gt;50, AND(I899&lt;&gt;"""", NOT(ISNUMBER(I899))), AND(ISNUMBER(I899), OR(I899&lt;0, I899&gt;99998)), AND(L899&lt;&gt;"""", NOT(REGEXMATCH(L899&amp;"""", ""^\d{8,14}$"")))), ""Erro"", """")"),"")</f>
      </c>
    </row>
    <row r="900" ht="15.75" customHeight="true">
      <c r="A900" s="33"/>
      <c r="B900" s="34" t="str">
        <f t="shared" si="1"/>
      </c>
      <c r="C900" s="35"/>
      <c r="D900" s="36"/>
      <c r="E900" s="37"/>
      <c r="F900" s="38"/>
      <c r="G900" s="39" t="str">
        <f t="shared" si="2"/>
      </c>
      <c r="H900" s="40"/>
      <c r="I900" s="41"/>
      <c r="J900" s="41"/>
      <c r="K900" s="41"/>
      <c r="L900" s="42"/>
      <c r="M900" s="43"/>
      <c r="N900" s="44"/>
      <c r="O900" s="45"/>
      <c r="P900" s="46" t="str">
        <f>IFERROR(__xludf.DUMMYFUNCTION("IF(OR(AND(C900&lt;&gt;"""", LEN(C900)&lt;3), LEN(C900)&gt;60, AND(D900&lt;&gt;"""", NOT(ISNUMBER(D900))), AND(ISNUMBER(D900), OR(D900&lt;0.01, D900&gt;999999999)), AND(COUNTA(D900:F900, H900:N900)&gt;0, C900=""""),                  
  AND(COUNTA(C900, H900:N900)&gt;0, D900=""""), LEN("&amp;"H900)&gt;50, AND(I900&lt;&gt;"""", NOT(ISNUMBER(I900))), AND(ISNUMBER(I900), OR(I900&lt;0, I900&gt;99998)), AND(L900&lt;&gt;"""", NOT(REGEXMATCH(L900&amp;"""", ""^\d{8,14}$"")))), ""Erro"", """")"),"")</f>
      </c>
    </row>
    <row r="901" ht="15.75" customHeight="true">
      <c r="A901" s="33"/>
      <c r="B901" s="34" t="str">
        <f t="shared" si="1"/>
      </c>
      <c r="C901" s="35"/>
      <c r="D901" s="36"/>
      <c r="E901" s="37"/>
      <c r="F901" s="38"/>
      <c r="G901" s="39" t="str">
        <f t="shared" si="2"/>
      </c>
      <c r="H901" s="40"/>
      <c r="I901" s="41"/>
      <c r="J901" s="41"/>
      <c r="K901" s="41"/>
      <c r="L901" s="42"/>
      <c r="M901" s="43"/>
      <c r="N901" s="44"/>
      <c r="O901" s="45"/>
      <c r="P901" s="46" t="str">
        <f>IFERROR(__xludf.DUMMYFUNCTION("IF(OR(AND(C901&lt;&gt;"""", LEN(C901)&lt;3), LEN(C901)&gt;60, AND(D901&lt;&gt;"""", NOT(ISNUMBER(D901))), AND(ISNUMBER(D901), OR(D901&lt;0.01, D901&gt;999999999)), AND(COUNTA(D901:F901, H901:N901)&gt;0, C901=""""),                  
  AND(COUNTA(C901, H901:N901)&gt;0, D901=""""), LEN("&amp;"H901)&gt;50, AND(I901&lt;&gt;"""", NOT(ISNUMBER(I901))), AND(ISNUMBER(I901), OR(I901&lt;0, I901&gt;99998)), AND(L901&lt;&gt;"""", NOT(REGEXMATCH(L901&amp;"""", ""^\d{8,14}$"")))), ""Erro"", """")"),"")</f>
      </c>
    </row>
    <row r="902" ht="15.75" customHeight="true">
      <c r="A902" s="33"/>
      <c r="B902" s="34" t="str">
        <f t="shared" si="1"/>
      </c>
      <c r="C902" s="35"/>
      <c r="D902" s="36"/>
      <c r="E902" s="37"/>
      <c r="F902" s="38"/>
      <c r="G902" s="39" t="str">
        <f t="shared" si="2"/>
      </c>
      <c r="H902" s="40"/>
      <c r="I902" s="41"/>
      <c r="J902" s="41"/>
      <c r="K902" s="41"/>
      <c r="L902" s="42"/>
      <c r="M902" s="43"/>
      <c r="N902" s="44"/>
      <c r="O902" s="45"/>
      <c r="P902" s="46" t="str">
        <f>IFERROR(__xludf.DUMMYFUNCTION("IF(OR(AND(C902&lt;&gt;"""", LEN(C902)&lt;3), LEN(C902)&gt;60, AND(D902&lt;&gt;"""", NOT(ISNUMBER(D902))), AND(ISNUMBER(D902), OR(D902&lt;0.01, D902&gt;999999999)), AND(COUNTA(D902:F902, H902:N902)&gt;0, C902=""""),                  
  AND(COUNTA(C902, H902:N902)&gt;0, D902=""""), LEN("&amp;"H902)&gt;50, AND(I902&lt;&gt;"""", NOT(ISNUMBER(I902))), AND(ISNUMBER(I902), OR(I902&lt;0, I902&gt;99998)), AND(L902&lt;&gt;"""", NOT(REGEXMATCH(L902&amp;"""", ""^\d{8,14}$"")))), ""Erro"", """")"),"")</f>
      </c>
    </row>
    <row r="903" ht="15.75" customHeight="true">
      <c r="A903" s="33"/>
      <c r="B903" s="34" t="str">
        <f t="shared" si="1"/>
      </c>
      <c r="C903" s="35"/>
      <c r="D903" s="36"/>
      <c r="E903" s="37"/>
      <c r="F903" s="38"/>
      <c r="G903" s="39" t="str">
        <f t="shared" si="2"/>
      </c>
      <c r="H903" s="40"/>
      <c r="I903" s="41"/>
      <c r="J903" s="41"/>
      <c r="K903" s="41"/>
      <c r="L903" s="42"/>
      <c r="M903" s="43"/>
      <c r="N903" s="44"/>
      <c r="O903" s="45"/>
      <c r="P903" s="46" t="str">
        <f>IFERROR(__xludf.DUMMYFUNCTION("IF(OR(AND(C903&lt;&gt;"""", LEN(C903)&lt;3), LEN(C903)&gt;60, AND(D903&lt;&gt;"""", NOT(ISNUMBER(D903))), AND(ISNUMBER(D903), OR(D903&lt;0.01, D903&gt;999999999)), AND(COUNTA(D903:F903, H903:N903)&gt;0, C903=""""),                  
  AND(COUNTA(C903, H903:N903)&gt;0, D903=""""), LEN("&amp;"H903)&gt;50, AND(I903&lt;&gt;"""", NOT(ISNUMBER(I903))), AND(ISNUMBER(I903), OR(I903&lt;0, I903&gt;99998)), AND(L903&lt;&gt;"""", NOT(REGEXMATCH(L903&amp;"""", ""^\d{8,14}$"")))), ""Erro"", """")"),"")</f>
      </c>
    </row>
    <row r="904" ht="15.75" customHeight="true">
      <c r="A904" s="33"/>
      <c r="B904" s="34" t="str">
        <f t="shared" si="1"/>
      </c>
      <c r="C904" s="35"/>
      <c r="D904" s="36"/>
      <c r="E904" s="37"/>
      <c r="F904" s="38"/>
      <c r="G904" s="39" t="str">
        <f t="shared" si="2"/>
      </c>
      <c r="H904" s="40"/>
      <c r="I904" s="41"/>
      <c r="J904" s="41"/>
      <c r="K904" s="41"/>
      <c r="L904" s="42"/>
      <c r="M904" s="43"/>
      <c r="N904" s="44"/>
      <c r="O904" s="45"/>
      <c r="P904" s="46" t="str">
        <f>IFERROR(__xludf.DUMMYFUNCTION("IF(OR(AND(C904&lt;&gt;"""", LEN(C904)&lt;3), LEN(C904)&gt;60, AND(D904&lt;&gt;"""", NOT(ISNUMBER(D904))), AND(ISNUMBER(D904), OR(D904&lt;0.01, D904&gt;999999999)), AND(COUNTA(D904:F904, H904:N904)&gt;0, C904=""""),                  
  AND(COUNTA(C904, H904:N904)&gt;0, D904=""""), LEN("&amp;"H904)&gt;50, AND(I904&lt;&gt;"""", NOT(ISNUMBER(I904))), AND(ISNUMBER(I904), OR(I904&lt;0, I904&gt;99998)), AND(L904&lt;&gt;"""", NOT(REGEXMATCH(L904&amp;"""", ""^\d{8,14}$"")))), ""Erro"", """")"),"")</f>
      </c>
    </row>
    <row r="905" ht="15.75" customHeight="true">
      <c r="A905" s="33"/>
      <c r="B905" s="34" t="str">
        <f t="shared" si="1"/>
      </c>
      <c r="C905" s="35"/>
      <c r="D905" s="36"/>
      <c r="E905" s="37"/>
      <c r="F905" s="38"/>
      <c r="G905" s="39" t="str">
        <f t="shared" si="2"/>
      </c>
      <c r="H905" s="40"/>
      <c r="I905" s="41"/>
      <c r="J905" s="41"/>
      <c r="K905" s="41"/>
      <c r="L905" s="42"/>
      <c r="M905" s="43"/>
      <c r="N905" s="44"/>
      <c r="O905" s="45"/>
      <c r="P905" s="46" t="str">
        <f>IFERROR(__xludf.DUMMYFUNCTION("IF(OR(AND(C905&lt;&gt;"""", LEN(C905)&lt;3), LEN(C905)&gt;60, AND(D905&lt;&gt;"""", NOT(ISNUMBER(D905))), AND(ISNUMBER(D905), OR(D905&lt;0.01, D905&gt;999999999)), AND(COUNTA(D905:F905, H905:N905)&gt;0, C905=""""),                  
  AND(COUNTA(C905, H905:N905)&gt;0, D905=""""), LEN("&amp;"H905)&gt;50, AND(I905&lt;&gt;"""", NOT(ISNUMBER(I905))), AND(ISNUMBER(I905), OR(I905&lt;0, I905&gt;99998)), AND(L905&lt;&gt;"""", NOT(REGEXMATCH(L905&amp;"""", ""^\d{8,14}$"")))), ""Erro"", """")"),"")</f>
      </c>
    </row>
    <row r="906" ht="15.75" customHeight="true">
      <c r="A906" s="33"/>
      <c r="B906" s="34" t="str">
        <f t="shared" si="1"/>
      </c>
      <c r="C906" s="35"/>
      <c r="D906" s="36"/>
      <c r="E906" s="37"/>
      <c r="F906" s="38"/>
      <c r="G906" s="39" t="str">
        <f t="shared" si="2"/>
      </c>
      <c r="H906" s="40"/>
      <c r="I906" s="41"/>
      <c r="J906" s="41"/>
      <c r="K906" s="41"/>
      <c r="L906" s="42"/>
      <c r="M906" s="43"/>
      <c r="N906" s="44"/>
      <c r="O906" s="45"/>
      <c r="P906" s="46" t="str">
        <f>IFERROR(__xludf.DUMMYFUNCTION("IF(OR(AND(C906&lt;&gt;"""", LEN(C906)&lt;3), LEN(C906)&gt;60, AND(D906&lt;&gt;"""", NOT(ISNUMBER(D906))), AND(ISNUMBER(D906), OR(D906&lt;0.01, D906&gt;999999999)), AND(COUNTA(D906:F906, H906:N906)&gt;0, C906=""""),                  
  AND(COUNTA(C906, H906:N906)&gt;0, D906=""""), LEN("&amp;"H906)&gt;50, AND(I906&lt;&gt;"""", NOT(ISNUMBER(I906))), AND(ISNUMBER(I906), OR(I906&lt;0, I906&gt;99998)), AND(L906&lt;&gt;"""", NOT(REGEXMATCH(L906&amp;"""", ""^\d{8,14}$"")))), ""Erro"", """")"),"")</f>
      </c>
    </row>
    <row r="907" ht="15.75" customHeight="true">
      <c r="A907" s="33"/>
      <c r="B907" s="34" t="str">
        <f t="shared" si="1"/>
      </c>
      <c r="C907" s="35"/>
      <c r="D907" s="36"/>
      <c r="E907" s="37"/>
      <c r="F907" s="38"/>
      <c r="G907" s="39" t="str">
        <f t="shared" si="2"/>
      </c>
      <c r="H907" s="40"/>
      <c r="I907" s="41"/>
      <c r="J907" s="41"/>
      <c r="K907" s="41"/>
      <c r="L907" s="42"/>
      <c r="M907" s="43"/>
      <c r="N907" s="44"/>
      <c r="O907" s="45"/>
      <c r="P907" s="46" t="str">
        <f>IFERROR(__xludf.DUMMYFUNCTION("IF(OR(AND(C907&lt;&gt;"""", LEN(C907)&lt;3), LEN(C907)&gt;60, AND(D907&lt;&gt;"""", NOT(ISNUMBER(D907))), AND(ISNUMBER(D907), OR(D907&lt;0.01, D907&gt;999999999)), AND(COUNTA(D907:F907, H907:N907)&gt;0, C907=""""),                  
  AND(COUNTA(C907, H907:N907)&gt;0, D907=""""), LEN("&amp;"H907)&gt;50, AND(I907&lt;&gt;"""", NOT(ISNUMBER(I907))), AND(ISNUMBER(I907), OR(I907&lt;0, I907&gt;99998)), AND(L907&lt;&gt;"""", NOT(REGEXMATCH(L907&amp;"""", ""^\d{8,14}$"")))), ""Erro"", """")"),"")</f>
      </c>
    </row>
    <row r="908" ht="15.75" customHeight="true">
      <c r="A908" s="33"/>
      <c r="B908" s="34" t="str">
        <f t="shared" si="1"/>
      </c>
      <c r="C908" s="35"/>
      <c r="D908" s="36"/>
      <c r="E908" s="37"/>
      <c r="F908" s="38"/>
      <c r="G908" s="39" t="str">
        <f t="shared" si="2"/>
      </c>
      <c r="H908" s="40"/>
      <c r="I908" s="41"/>
      <c r="J908" s="41"/>
      <c r="K908" s="41"/>
      <c r="L908" s="42"/>
      <c r="M908" s="43"/>
      <c r="N908" s="44"/>
      <c r="O908" s="45"/>
      <c r="P908" s="46" t="str">
        <f>IFERROR(__xludf.DUMMYFUNCTION("IF(OR(AND(C908&lt;&gt;"""", LEN(C908)&lt;3), LEN(C908)&gt;60, AND(D908&lt;&gt;"""", NOT(ISNUMBER(D908))), AND(ISNUMBER(D908), OR(D908&lt;0.01, D908&gt;999999999)), AND(COUNTA(D908:F908, H908:N908)&gt;0, C908=""""),                  
  AND(COUNTA(C908, H908:N908)&gt;0, D908=""""), LEN("&amp;"H908)&gt;50, AND(I908&lt;&gt;"""", NOT(ISNUMBER(I908))), AND(ISNUMBER(I908), OR(I908&lt;0, I908&gt;99998)), AND(L908&lt;&gt;"""", NOT(REGEXMATCH(L908&amp;"""", ""^\d{8,14}$"")))), ""Erro"", """")"),"")</f>
      </c>
    </row>
    <row r="909" ht="15.75" customHeight="true">
      <c r="A909" s="33"/>
      <c r="B909" s="34" t="str">
        <f t="shared" si="1"/>
      </c>
      <c r="C909" s="35"/>
      <c r="D909" s="36"/>
      <c r="E909" s="37"/>
      <c r="F909" s="38"/>
      <c r="G909" s="39" t="str">
        <f t="shared" si="2"/>
      </c>
      <c r="H909" s="40"/>
      <c r="I909" s="41"/>
      <c r="J909" s="41"/>
      <c r="K909" s="41"/>
      <c r="L909" s="42"/>
      <c r="M909" s="43"/>
      <c r="N909" s="44"/>
      <c r="O909" s="45"/>
      <c r="P909" s="46" t="str">
        <f>IFERROR(__xludf.DUMMYFUNCTION("IF(OR(AND(C909&lt;&gt;"""", LEN(C909)&lt;3), LEN(C909)&gt;60, AND(D909&lt;&gt;"""", NOT(ISNUMBER(D909))), AND(ISNUMBER(D909), OR(D909&lt;0.01, D909&gt;999999999)), AND(COUNTA(D909:F909, H909:N909)&gt;0, C909=""""),                  
  AND(COUNTA(C909, H909:N909)&gt;0, D909=""""), LEN("&amp;"H909)&gt;50, AND(I909&lt;&gt;"""", NOT(ISNUMBER(I909))), AND(ISNUMBER(I909), OR(I909&lt;0, I909&gt;99998)), AND(L909&lt;&gt;"""", NOT(REGEXMATCH(L909&amp;"""", ""^\d{8,14}$"")))), ""Erro"", """")"),"")</f>
      </c>
    </row>
    <row r="910" ht="15.75" customHeight="true">
      <c r="A910" s="33"/>
      <c r="B910" s="34" t="str">
        <f t="shared" si="1"/>
      </c>
      <c r="C910" s="35"/>
      <c r="D910" s="36"/>
      <c r="E910" s="37"/>
      <c r="F910" s="38"/>
      <c r="G910" s="39" t="str">
        <f t="shared" si="2"/>
      </c>
      <c r="H910" s="40"/>
      <c r="I910" s="41"/>
      <c r="J910" s="41"/>
      <c r="K910" s="41"/>
      <c r="L910" s="42"/>
      <c r="M910" s="43"/>
      <c r="N910" s="44"/>
      <c r="O910" s="45"/>
      <c r="P910" s="46" t="str">
        <f>IFERROR(__xludf.DUMMYFUNCTION("IF(OR(AND(C910&lt;&gt;"""", LEN(C910)&lt;3), LEN(C910)&gt;60, AND(D910&lt;&gt;"""", NOT(ISNUMBER(D910))), AND(ISNUMBER(D910), OR(D910&lt;0.01, D910&gt;999999999)), AND(COUNTA(D910:F910, H910:N910)&gt;0, C910=""""),                  
  AND(COUNTA(C910, H910:N910)&gt;0, D910=""""), LEN("&amp;"H910)&gt;50, AND(I910&lt;&gt;"""", NOT(ISNUMBER(I910))), AND(ISNUMBER(I910), OR(I910&lt;0, I910&gt;99998)), AND(L910&lt;&gt;"""", NOT(REGEXMATCH(L910&amp;"""", ""^\d{8,14}$"")))), ""Erro"", """")"),"")</f>
      </c>
    </row>
    <row r="911" ht="15.75" customHeight="true">
      <c r="A911" s="33"/>
      <c r="B911" s="34" t="str">
        <f t="shared" si="1"/>
      </c>
      <c r="C911" s="35"/>
      <c r="D911" s="36"/>
      <c r="E911" s="37"/>
      <c r="F911" s="38"/>
      <c r="G911" s="39" t="str">
        <f t="shared" si="2"/>
      </c>
      <c r="H911" s="40"/>
      <c r="I911" s="41"/>
      <c r="J911" s="41"/>
      <c r="K911" s="41"/>
      <c r="L911" s="42"/>
      <c r="M911" s="43"/>
      <c r="N911" s="44"/>
      <c r="O911" s="45"/>
      <c r="P911" s="46" t="str">
        <f>IFERROR(__xludf.DUMMYFUNCTION("IF(OR(AND(C911&lt;&gt;"""", LEN(C911)&lt;3), LEN(C911)&gt;60, AND(D911&lt;&gt;"""", NOT(ISNUMBER(D911))), AND(ISNUMBER(D911), OR(D911&lt;0.01, D911&gt;999999999)), AND(COUNTA(D911:F911, H911:N911)&gt;0, C911=""""),                  
  AND(COUNTA(C911, H911:N911)&gt;0, D911=""""), LEN("&amp;"H911)&gt;50, AND(I911&lt;&gt;"""", NOT(ISNUMBER(I911))), AND(ISNUMBER(I911), OR(I911&lt;0, I911&gt;99998)), AND(L911&lt;&gt;"""", NOT(REGEXMATCH(L911&amp;"""", ""^\d{8,14}$"")))), ""Erro"", """")"),"")</f>
      </c>
    </row>
    <row r="912" ht="15.75" customHeight="true">
      <c r="A912" s="33"/>
      <c r="B912" s="34" t="str">
        <f t="shared" si="1"/>
      </c>
      <c r="C912" s="35"/>
      <c r="D912" s="36"/>
      <c r="E912" s="37"/>
      <c r="F912" s="38"/>
      <c r="G912" s="39" t="str">
        <f t="shared" si="2"/>
      </c>
      <c r="H912" s="40"/>
      <c r="I912" s="41"/>
      <c r="J912" s="41"/>
      <c r="K912" s="41"/>
      <c r="L912" s="42"/>
      <c r="M912" s="43"/>
      <c r="N912" s="44"/>
      <c r="O912" s="45"/>
      <c r="P912" s="46" t="str">
        <f>IFERROR(__xludf.DUMMYFUNCTION("IF(OR(AND(C912&lt;&gt;"""", LEN(C912)&lt;3), LEN(C912)&gt;60, AND(D912&lt;&gt;"""", NOT(ISNUMBER(D912))), AND(ISNUMBER(D912), OR(D912&lt;0.01, D912&gt;999999999)), AND(COUNTA(D912:F912, H912:N912)&gt;0, C912=""""),                  
  AND(COUNTA(C912, H912:N912)&gt;0, D912=""""), LEN("&amp;"H912)&gt;50, AND(I912&lt;&gt;"""", NOT(ISNUMBER(I912))), AND(ISNUMBER(I912), OR(I912&lt;0, I912&gt;99998)), AND(L912&lt;&gt;"""", NOT(REGEXMATCH(L912&amp;"""", ""^\d{8,14}$"")))), ""Erro"", """")"),"")</f>
      </c>
    </row>
    <row r="913" ht="15.75" customHeight="true">
      <c r="A913" s="33"/>
      <c r="B913" s="34" t="str">
        <f t="shared" si="1"/>
      </c>
      <c r="C913" s="35"/>
      <c r="D913" s="36"/>
      <c r="E913" s="37"/>
      <c r="F913" s="38"/>
      <c r="G913" s="39" t="str">
        <f t="shared" si="2"/>
      </c>
      <c r="H913" s="40"/>
      <c r="I913" s="41"/>
      <c r="J913" s="41"/>
      <c r="K913" s="41"/>
      <c r="L913" s="42"/>
      <c r="M913" s="43"/>
      <c r="N913" s="44"/>
      <c r="O913" s="45"/>
      <c r="P913" s="46" t="str">
        <f>IFERROR(__xludf.DUMMYFUNCTION("IF(OR(AND(C913&lt;&gt;"""", LEN(C913)&lt;3), LEN(C913)&gt;60, AND(D913&lt;&gt;"""", NOT(ISNUMBER(D913))), AND(ISNUMBER(D913), OR(D913&lt;0.01, D913&gt;999999999)), AND(COUNTA(D913:F913, H913:N913)&gt;0, C913=""""),                  
  AND(COUNTA(C913, H913:N913)&gt;0, D913=""""), LEN("&amp;"H913)&gt;50, AND(I913&lt;&gt;"""", NOT(ISNUMBER(I913))), AND(ISNUMBER(I913), OR(I913&lt;0, I913&gt;99998)), AND(L913&lt;&gt;"""", NOT(REGEXMATCH(L913&amp;"""", ""^\d{8,14}$"")))), ""Erro"", """")"),"")</f>
      </c>
    </row>
    <row r="914" ht="15.75" customHeight="true">
      <c r="A914" s="33"/>
      <c r="B914" s="34" t="str">
        <f t="shared" si="1"/>
      </c>
      <c r="C914" s="35"/>
      <c r="D914" s="36"/>
      <c r="E914" s="37"/>
      <c r="F914" s="38"/>
      <c r="G914" s="39" t="str">
        <f t="shared" si="2"/>
      </c>
      <c r="H914" s="40"/>
      <c r="I914" s="41"/>
      <c r="J914" s="41"/>
      <c r="K914" s="41"/>
      <c r="L914" s="42"/>
      <c r="M914" s="43"/>
      <c r="N914" s="44"/>
      <c r="O914" s="45"/>
      <c r="P914" s="46" t="str">
        <f>IFERROR(__xludf.DUMMYFUNCTION("IF(OR(AND(C914&lt;&gt;"""", LEN(C914)&lt;3), LEN(C914)&gt;60, AND(D914&lt;&gt;"""", NOT(ISNUMBER(D914))), AND(ISNUMBER(D914), OR(D914&lt;0.01, D914&gt;999999999)), AND(COUNTA(D914:F914, H914:N914)&gt;0, C914=""""),                  
  AND(COUNTA(C914, H914:N914)&gt;0, D914=""""), LEN("&amp;"H914)&gt;50, AND(I914&lt;&gt;"""", NOT(ISNUMBER(I914))), AND(ISNUMBER(I914), OR(I914&lt;0, I914&gt;99998)), AND(L914&lt;&gt;"""", NOT(REGEXMATCH(L914&amp;"""", ""^\d{8,14}$"")))), ""Erro"", """")"),"")</f>
      </c>
    </row>
    <row r="915" ht="15.75" customHeight="true">
      <c r="A915" s="33"/>
      <c r="B915" s="34" t="str">
        <f t="shared" si="1"/>
      </c>
      <c r="C915" s="35"/>
      <c r="D915" s="36"/>
      <c r="E915" s="37"/>
      <c r="F915" s="38"/>
      <c r="G915" s="39" t="str">
        <f t="shared" si="2"/>
      </c>
      <c r="H915" s="40"/>
      <c r="I915" s="41"/>
      <c r="J915" s="41"/>
      <c r="K915" s="41"/>
      <c r="L915" s="42"/>
      <c r="M915" s="43"/>
      <c r="N915" s="44"/>
      <c r="O915" s="45"/>
      <c r="P915" s="46" t="str">
        <f>IFERROR(__xludf.DUMMYFUNCTION("IF(OR(AND(C915&lt;&gt;"""", LEN(C915)&lt;3), LEN(C915)&gt;60, AND(D915&lt;&gt;"""", NOT(ISNUMBER(D915))), AND(ISNUMBER(D915), OR(D915&lt;0.01, D915&gt;999999999)), AND(COUNTA(D915:F915, H915:N915)&gt;0, C915=""""),                  
  AND(COUNTA(C915, H915:N915)&gt;0, D915=""""), LEN("&amp;"H915)&gt;50, AND(I915&lt;&gt;"""", NOT(ISNUMBER(I915))), AND(ISNUMBER(I915), OR(I915&lt;0, I915&gt;99998)), AND(L915&lt;&gt;"""", NOT(REGEXMATCH(L915&amp;"""", ""^\d{8,14}$"")))), ""Erro"", """")"),"")</f>
      </c>
    </row>
    <row r="916" ht="15.75" customHeight="true">
      <c r="A916" s="33"/>
      <c r="B916" s="34" t="str">
        <f t="shared" si="1"/>
      </c>
      <c r="C916" s="35"/>
      <c r="D916" s="36"/>
      <c r="E916" s="37"/>
      <c r="F916" s="38"/>
      <c r="G916" s="39" t="str">
        <f t="shared" si="2"/>
      </c>
      <c r="H916" s="40"/>
      <c r="I916" s="41"/>
      <c r="J916" s="41"/>
      <c r="K916" s="41"/>
      <c r="L916" s="42"/>
      <c r="M916" s="43"/>
      <c r="N916" s="44"/>
      <c r="O916" s="45"/>
      <c r="P916" s="46" t="str">
        <f>IFERROR(__xludf.DUMMYFUNCTION("IF(OR(AND(C916&lt;&gt;"""", LEN(C916)&lt;3), LEN(C916)&gt;60, AND(D916&lt;&gt;"""", NOT(ISNUMBER(D916))), AND(ISNUMBER(D916), OR(D916&lt;0.01, D916&gt;999999999)), AND(COUNTA(D916:F916, H916:N916)&gt;0, C916=""""),                  
  AND(COUNTA(C916, H916:N916)&gt;0, D916=""""), LEN("&amp;"H916)&gt;50, AND(I916&lt;&gt;"""", NOT(ISNUMBER(I916))), AND(ISNUMBER(I916), OR(I916&lt;0, I916&gt;99998)), AND(L916&lt;&gt;"""", NOT(REGEXMATCH(L916&amp;"""", ""^\d{8,14}$"")))), ""Erro"", """")"),"")</f>
      </c>
    </row>
    <row r="917" ht="15.75" customHeight="true">
      <c r="A917" s="33"/>
      <c r="B917" s="34" t="str">
        <f t="shared" si="1"/>
      </c>
      <c r="C917" s="35"/>
      <c r="D917" s="36"/>
      <c r="E917" s="37"/>
      <c r="F917" s="38"/>
      <c r="G917" s="39" t="str">
        <f t="shared" si="2"/>
      </c>
      <c r="H917" s="40"/>
      <c r="I917" s="41"/>
      <c r="J917" s="41"/>
      <c r="K917" s="41"/>
      <c r="L917" s="42"/>
      <c r="M917" s="43"/>
      <c r="N917" s="44"/>
      <c r="O917" s="45"/>
      <c r="P917" s="46" t="str">
        <f>IFERROR(__xludf.DUMMYFUNCTION("IF(OR(AND(C917&lt;&gt;"""", LEN(C917)&lt;3), LEN(C917)&gt;60, AND(D917&lt;&gt;"""", NOT(ISNUMBER(D917))), AND(ISNUMBER(D917), OR(D917&lt;0.01, D917&gt;999999999)), AND(COUNTA(D917:F917, H917:N917)&gt;0, C917=""""),                  
  AND(COUNTA(C917, H917:N917)&gt;0, D917=""""), LEN("&amp;"H917)&gt;50, AND(I917&lt;&gt;"""", NOT(ISNUMBER(I917))), AND(ISNUMBER(I917), OR(I917&lt;0, I917&gt;99998)), AND(L917&lt;&gt;"""", NOT(REGEXMATCH(L917&amp;"""", ""^\d{8,14}$"")))), ""Erro"", """")"),"")</f>
      </c>
    </row>
    <row r="918" ht="15.75" customHeight="true">
      <c r="A918" s="33"/>
      <c r="B918" s="34" t="str">
        <f t="shared" si="1"/>
      </c>
      <c r="C918" s="35"/>
      <c r="D918" s="36"/>
      <c r="E918" s="37"/>
      <c r="F918" s="38"/>
      <c r="G918" s="39" t="str">
        <f t="shared" si="2"/>
      </c>
      <c r="H918" s="40"/>
      <c r="I918" s="41"/>
      <c r="J918" s="41"/>
      <c r="K918" s="41"/>
      <c r="L918" s="42"/>
      <c r="M918" s="43"/>
      <c r="N918" s="44"/>
      <c r="O918" s="45"/>
      <c r="P918" s="46" t="str">
        <f>IFERROR(__xludf.DUMMYFUNCTION("IF(OR(AND(C918&lt;&gt;"""", LEN(C918)&lt;3), LEN(C918)&gt;60, AND(D918&lt;&gt;"""", NOT(ISNUMBER(D918))), AND(ISNUMBER(D918), OR(D918&lt;0.01, D918&gt;999999999)), AND(COUNTA(D918:F918, H918:N918)&gt;0, C918=""""),                  
  AND(COUNTA(C918, H918:N918)&gt;0, D918=""""), LEN("&amp;"H918)&gt;50, AND(I918&lt;&gt;"""", NOT(ISNUMBER(I918))), AND(ISNUMBER(I918), OR(I918&lt;0, I918&gt;99998)), AND(L918&lt;&gt;"""", NOT(REGEXMATCH(L918&amp;"""", ""^\d{8,14}$"")))), ""Erro"", """")"),"")</f>
      </c>
    </row>
    <row r="919" ht="15.75" customHeight="true">
      <c r="A919" s="33"/>
      <c r="B919" s="34" t="str">
        <f t="shared" si="1"/>
      </c>
      <c r="C919" s="35"/>
      <c r="D919" s="36"/>
      <c r="E919" s="37"/>
      <c r="F919" s="38"/>
      <c r="G919" s="39" t="str">
        <f t="shared" si="2"/>
      </c>
      <c r="H919" s="40"/>
      <c r="I919" s="41"/>
      <c r="J919" s="41"/>
      <c r="K919" s="41"/>
      <c r="L919" s="42"/>
      <c r="M919" s="43"/>
      <c r="N919" s="44"/>
      <c r="O919" s="45"/>
      <c r="P919" s="46" t="str">
        <f>IFERROR(__xludf.DUMMYFUNCTION("IF(OR(AND(C919&lt;&gt;"""", LEN(C919)&lt;3), LEN(C919)&gt;60, AND(D919&lt;&gt;"""", NOT(ISNUMBER(D919))), AND(ISNUMBER(D919), OR(D919&lt;0.01, D919&gt;999999999)), AND(COUNTA(D919:F919, H919:N919)&gt;0, C919=""""),                  
  AND(COUNTA(C919, H919:N919)&gt;0, D919=""""), LEN("&amp;"H919)&gt;50, AND(I919&lt;&gt;"""", NOT(ISNUMBER(I919))), AND(ISNUMBER(I919), OR(I919&lt;0, I919&gt;99998)), AND(L919&lt;&gt;"""", NOT(REGEXMATCH(L919&amp;"""", ""^\d{8,14}$"")))), ""Erro"", """")"),"")</f>
      </c>
    </row>
    <row r="920" ht="15.75" customHeight="true">
      <c r="A920" s="33"/>
      <c r="B920" s="34" t="str">
        <f t="shared" si="1"/>
      </c>
      <c r="C920" s="35"/>
      <c r="D920" s="36"/>
      <c r="E920" s="37"/>
      <c r="F920" s="38"/>
      <c r="G920" s="39" t="str">
        <f t="shared" si="2"/>
      </c>
      <c r="H920" s="40"/>
      <c r="I920" s="41"/>
      <c r="J920" s="41"/>
      <c r="K920" s="41"/>
      <c r="L920" s="42"/>
      <c r="M920" s="43"/>
      <c r="N920" s="44"/>
      <c r="O920" s="45"/>
      <c r="P920" s="46" t="str">
        <f>IFERROR(__xludf.DUMMYFUNCTION("IF(OR(AND(C920&lt;&gt;"""", LEN(C920)&lt;3), LEN(C920)&gt;60, AND(D920&lt;&gt;"""", NOT(ISNUMBER(D920))), AND(ISNUMBER(D920), OR(D920&lt;0.01, D920&gt;999999999)), AND(COUNTA(D920:F920, H920:N920)&gt;0, C920=""""),                  
  AND(COUNTA(C920, H920:N920)&gt;0, D920=""""), LEN("&amp;"H920)&gt;50, AND(I920&lt;&gt;"""", NOT(ISNUMBER(I920))), AND(ISNUMBER(I920), OR(I920&lt;0, I920&gt;99998)), AND(L920&lt;&gt;"""", NOT(REGEXMATCH(L920&amp;"""", ""^\d{8,14}$"")))), ""Erro"", """")"),"")</f>
      </c>
    </row>
    <row r="921" ht="15.75" customHeight="true">
      <c r="A921" s="33"/>
      <c r="B921" s="34" t="str">
        <f t="shared" si="1"/>
      </c>
      <c r="C921" s="35"/>
      <c r="D921" s="36"/>
      <c r="E921" s="37"/>
      <c r="F921" s="38"/>
      <c r="G921" s="39" t="str">
        <f t="shared" si="2"/>
      </c>
      <c r="H921" s="40"/>
      <c r="I921" s="41"/>
      <c r="J921" s="41"/>
      <c r="K921" s="41"/>
      <c r="L921" s="42"/>
      <c r="M921" s="43"/>
      <c r="N921" s="44"/>
      <c r="O921" s="45"/>
      <c r="P921" s="46" t="str">
        <f>IFERROR(__xludf.DUMMYFUNCTION("IF(OR(AND(C921&lt;&gt;"""", LEN(C921)&lt;3), LEN(C921)&gt;60, AND(D921&lt;&gt;"""", NOT(ISNUMBER(D921))), AND(ISNUMBER(D921), OR(D921&lt;0.01, D921&gt;999999999)), AND(COUNTA(D921:F921, H921:N921)&gt;0, C921=""""),                  
  AND(COUNTA(C921, H921:N921)&gt;0, D921=""""), LEN("&amp;"H921)&gt;50, AND(I921&lt;&gt;"""", NOT(ISNUMBER(I921))), AND(ISNUMBER(I921), OR(I921&lt;0, I921&gt;99998)), AND(L921&lt;&gt;"""", NOT(REGEXMATCH(L921&amp;"""", ""^\d{8,14}$"")))), ""Erro"", """")"),"")</f>
      </c>
    </row>
    <row r="922" ht="15.75" customHeight="true">
      <c r="A922" s="33"/>
      <c r="B922" s="34" t="str">
        <f t="shared" si="1"/>
      </c>
      <c r="C922" s="35"/>
      <c r="D922" s="36"/>
      <c r="E922" s="37"/>
      <c r="F922" s="38"/>
      <c r="G922" s="39" t="str">
        <f t="shared" si="2"/>
      </c>
      <c r="H922" s="40"/>
      <c r="I922" s="41"/>
      <c r="J922" s="41"/>
      <c r="K922" s="41"/>
      <c r="L922" s="42"/>
      <c r="M922" s="43"/>
      <c r="N922" s="44"/>
      <c r="O922" s="45"/>
      <c r="P922" s="46" t="str">
        <f>IFERROR(__xludf.DUMMYFUNCTION("IF(OR(AND(C922&lt;&gt;"""", LEN(C922)&lt;3), LEN(C922)&gt;60, AND(D922&lt;&gt;"""", NOT(ISNUMBER(D922))), AND(ISNUMBER(D922), OR(D922&lt;0.01, D922&gt;999999999)), AND(COUNTA(D922:F922, H922:N922)&gt;0, C922=""""),                  
  AND(COUNTA(C922, H922:N922)&gt;0, D922=""""), LEN("&amp;"H922)&gt;50, AND(I922&lt;&gt;"""", NOT(ISNUMBER(I922))), AND(ISNUMBER(I922), OR(I922&lt;0, I922&gt;99998)), AND(L922&lt;&gt;"""", NOT(REGEXMATCH(L922&amp;"""", ""^\d{8,14}$"")))), ""Erro"", """")"),"")</f>
      </c>
    </row>
    <row r="923" ht="15.75" customHeight="true">
      <c r="A923" s="33"/>
      <c r="B923" s="34" t="str">
        <f t="shared" si="1"/>
      </c>
      <c r="C923" s="35"/>
      <c r="D923" s="36"/>
      <c r="E923" s="37"/>
      <c r="F923" s="38"/>
      <c r="G923" s="39" t="str">
        <f t="shared" si="2"/>
      </c>
      <c r="H923" s="40"/>
      <c r="I923" s="41"/>
      <c r="J923" s="41"/>
      <c r="K923" s="41"/>
      <c r="L923" s="42"/>
      <c r="M923" s="43"/>
      <c r="N923" s="44"/>
      <c r="O923" s="45"/>
      <c r="P923" s="46" t="str">
        <f>IFERROR(__xludf.DUMMYFUNCTION("IF(OR(AND(C923&lt;&gt;"""", LEN(C923)&lt;3), LEN(C923)&gt;60, AND(D923&lt;&gt;"""", NOT(ISNUMBER(D923))), AND(ISNUMBER(D923), OR(D923&lt;0.01, D923&gt;999999999)), AND(COUNTA(D923:F923, H923:N923)&gt;0, C923=""""),                  
  AND(COUNTA(C923, H923:N923)&gt;0, D923=""""), LEN("&amp;"H923)&gt;50, AND(I923&lt;&gt;"""", NOT(ISNUMBER(I923))), AND(ISNUMBER(I923), OR(I923&lt;0, I923&gt;99998)), AND(L923&lt;&gt;"""", NOT(REGEXMATCH(L923&amp;"""", ""^\d{8,14}$"")))), ""Erro"", """")"),"")</f>
      </c>
    </row>
    <row r="924" ht="15.75" customHeight="true">
      <c r="A924" s="33"/>
      <c r="B924" s="34" t="str">
        <f t="shared" si="1"/>
      </c>
      <c r="C924" s="35"/>
      <c r="D924" s="36"/>
      <c r="E924" s="37"/>
      <c r="F924" s="38"/>
      <c r="G924" s="39" t="str">
        <f t="shared" si="2"/>
      </c>
      <c r="H924" s="40"/>
      <c r="I924" s="41"/>
      <c r="J924" s="41"/>
      <c r="K924" s="41"/>
      <c r="L924" s="42"/>
      <c r="M924" s="43"/>
      <c r="N924" s="44"/>
      <c r="O924" s="45"/>
      <c r="P924" s="46" t="str">
        <f>IFERROR(__xludf.DUMMYFUNCTION("IF(OR(AND(C924&lt;&gt;"""", LEN(C924)&lt;3), LEN(C924)&gt;60, AND(D924&lt;&gt;"""", NOT(ISNUMBER(D924))), AND(ISNUMBER(D924), OR(D924&lt;0.01, D924&gt;999999999)), AND(COUNTA(D924:F924, H924:N924)&gt;0, C924=""""),                  
  AND(COUNTA(C924, H924:N924)&gt;0, D924=""""), LEN("&amp;"H924)&gt;50, AND(I924&lt;&gt;"""", NOT(ISNUMBER(I924))), AND(ISNUMBER(I924), OR(I924&lt;0, I924&gt;99998)), AND(L924&lt;&gt;"""", NOT(REGEXMATCH(L924&amp;"""", ""^\d{8,14}$"")))), ""Erro"", """")"),"")</f>
      </c>
    </row>
    <row r="925" ht="15.75" customHeight="true">
      <c r="A925" s="33"/>
      <c r="B925" s="34" t="str">
        <f t="shared" si="1"/>
      </c>
      <c r="C925" s="35"/>
      <c r="D925" s="36"/>
      <c r="E925" s="37"/>
      <c r="F925" s="38"/>
      <c r="G925" s="39" t="str">
        <f t="shared" si="2"/>
      </c>
      <c r="H925" s="40"/>
      <c r="I925" s="41"/>
      <c r="J925" s="41"/>
      <c r="K925" s="41"/>
      <c r="L925" s="42"/>
      <c r="M925" s="43"/>
      <c r="N925" s="44"/>
      <c r="O925" s="45"/>
      <c r="P925" s="46" t="str">
        <f>IFERROR(__xludf.DUMMYFUNCTION("IF(OR(AND(C925&lt;&gt;"""", LEN(C925)&lt;3), LEN(C925)&gt;60, AND(D925&lt;&gt;"""", NOT(ISNUMBER(D925))), AND(ISNUMBER(D925), OR(D925&lt;0.01, D925&gt;999999999)), AND(COUNTA(D925:F925, H925:N925)&gt;0, C925=""""),                  
  AND(COUNTA(C925, H925:N925)&gt;0, D925=""""), LEN("&amp;"H925)&gt;50, AND(I925&lt;&gt;"""", NOT(ISNUMBER(I925))), AND(ISNUMBER(I925), OR(I925&lt;0, I925&gt;99998)), AND(L925&lt;&gt;"""", NOT(REGEXMATCH(L925&amp;"""", ""^\d{8,14}$"")))), ""Erro"", """")"),"")</f>
      </c>
    </row>
    <row r="926" ht="15.75" customHeight="true">
      <c r="A926" s="33"/>
      <c r="B926" s="34" t="str">
        <f t="shared" si="1"/>
      </c>
      <c r="C926" s="35"/>
      <c r="D926" s="36"/>
      <c r="E926" s="37"/>
      <c r="F926" s="38"/>
      <c r="G926" s="39" t="str">
        <f t="shared" si="2"/>
      </c>
      <c r="H926" s="40"/>
      <c r="I926" s="41"/>
      <c r="J926" s="41"/>
      <c r="K926" s="41"/>
      <c r="L926" s="42"/>
      <c r="M926" s="43"/>
      <c r="N926" s="44"/>
      <c r="O926" s="45"/>
      <c r="P926" s="46" t="str">
        <f>IFERROR(__xludf.DUMMYFUNCTION("IF(OR(AND(C926&lt;&gt;"""", LEN(C926)&lt;3), LEN(C926)&gt;60, AND(D926&lt;&gt;"""", NOT(ISNUMBER(D926))), AND(ISNUMBER(D926), OR(D926&lt;0.01, D926&gt;999999999)), AND(COUNTA(D926:F926, H926:N926)&gt;0, C926=""""),                  
  AND(COUNTA(C926, H926:N926)&gt;0, D926=""""), LEN("&amp;"H926)&gt;50, AND(I926&lt;&gt;"""", NOT(ISNUMBER(I926))), AND(ISNUMBER(I926), OR(I926&lt;0, I926&gt;99998)), AND(L926&lt;&gt;"""", NOT(REGEXMATCH(L926&amp;"""", ""^\d{8,14}$"")))), ""Erro"", """")"),"")</f>
      </c>
    </row>
    <row r="927" ht="15.75" customHeight="true">
      <c r="A927" s="33"/>
      <c r="B927" s="34" t="str">
        <f t="shared" si="1"/>
      </c>
      <c r="C927" s="35"/>
      <c r="D927" s="36"/>
      <c r="E927" s="37"/>
      <c r="F927" s="38"/>
      <c r="G927" s="39" t="str">
        <f t="shared" si="2"/>
      </c>
      <c r="H927" s="40"/>
      <c r="I927" s="41"/>
      <c r="J927" s="41"/>
      <c r="K927" s="41"/>
      <c r="L927" s="42"/>
      <c r="M927" s="43"/>
      <c r="N927" s="44"/>
      <c r="O927" s="45"/>
      <c r="P927" s="46" t="str">
        <f>IFERROR(__xludf.DUMMYFUNCTION("IF(OR(AND(C927&lt;&gt;"""", LEN(C927)&lt;3), LEN(C927)&gt;60, AND(D927&lt;&gt;"""", NOT(ISNUMBER(D927))), AND(ISNUMBER(D927), OR(D927&lt;0.01, D927&gt;999999999)), AND(COUNTA(D927:F927, H927:N927)&gt;0, C927=""""),                  
  AND(COUNTA(C927, H927:N927)&gt;0, D927=""""), LEN("&amp;"H927)&gt;50, AND(I927&lt;&gt;"""", NOT(ISNUMBER(I927))), AND(ISNUMBER(I927), OR(I927&lt;0, I927&gt;99998)), AND(L927&lt;&gt;"""", NOT(REGEXMATCH(L927&amp;"""", ""^\d{8,14}$"")))), ""Erro"", """")"),"")</f>
      </c>
    </row>
    <row r="928" ht="15.75" customHeight="true">
      <c r="A928" s="33"/>
      <c r="B928" s="34" t="str">
        <f t="shared" si="1"/>
      </c>
      <c r="C928" s="35"/>
      <c r="D928" s="36"/>
      <c r="E928" s="37"/>
      <c r="F928" s="38"/>
      <c r="G928" s="39" t="str">
        <f t="shared" si="2"/>
      </c>
      <c r="H928" s="40"/>
      <c r="I928" s="41"/>
      <c r="J928" s="41"/>
      <c r="K928" s="41"/>
      <c r="L928" s="42"/>
      <c r="M928" s="43"/>
      <c r="N928" s="44"/>
      <c r="O928" s="45"/>
      <c r="P928" s="46" t="str">
        <f>IFERROR(__xludf.DUMMYFUNCTION("IF(OR(AND(C928&lt;&gt;"""", LEN(C928)&lt;3), LEN(C928)&gt;60, AND(D928&lt;&gt;"""", NOT(ISNUMBER(D928))), AND(ISNUMBER(D928), OR(D928&lt;0.01, D928&gt;999999999)), AND(COUNTA(D928:F928, H928:N928)&gt;0, C928=""""),                  
  AND(COUNTA(C928, H928:N928)&gt;0, D928=""""), LEN("&amp;"H928)&gt;50, AND(I928&lt;&gt;"""", NOT(ISNUMBER(I928))), AND(ISNUMBER(I928), OR(I928&lt;0, I928&gt;99998)), AND(L928&lt;&gt;"""", NOT(REGEXMATCH(L928&amp;"""", ""^\d{8,14}$"")))), ""Erro"", """")"),"")</f>
      </c>
    </row>
    <row r="929" ht="15.75" customHeight="true">
      <c r="A929" s="33"/>
      <c r="B929" s="34" t="str">
        <f t="shared" si="1"/>
      </c>
      <c r="C929" s="35"/>
      <c r="D929" s="36"/>
      <c r="E929" s="37"/>
      <c r="F929" s="38"/>
      <c r="G929" s="39" t="str">
        <f t="shared" si="2"/>
      </c>
      <c r="H929" s="40"/>
      <c r="I929" s="41"/>
      <c r="J929" s="41"/>
      <c r="K929" s="41"/>
      <c r="L929" s="42"/>
      <c r="M929" s="43"/>
      <c r="N929" s="44"/>
      <c r="O929" s="45"/>
      <c r="P929" s="46" t="str">
        <f>IFERROR(__xludf.DUMMYFUNCTION("IF(OR(AND(C929&lt;&gt;"""", LEN(C929)&lt;3), LEN(C929)&gt;60, AND(D929&lt;&gt;"""", NOT(ISNUMBER(D929))), AND(ISNUMBER(D929), OR(D929&lt;0.01, D929&gt;999999999)), AND(COUNTA(D929:F929, H929:N929)&gt;0, C929=""""),                  
  AND(COUNTA(C929, H929:N929)&gt;0, D929=""""), LEN("&amp;"H929)&gt;50, AND(I929&lt;&gt;"""", NOT(ISNUMBER(I929))), AND(ISNUMBER(I929), OR(I929&lt;0, I929&gt;99998)), AND(L929&lt;&gt;"""", NOT(REGEXMATCH(L929&amp;"""", ""^\d{8,14}$"")))), ""Erro"", """")"),"")</f>
      </c>
    </row>
    <row r="930" ht="15.75" customHeight="true">
      <c r="A930" s="33"/>
      <c r="B930" s="34" t="str">
        <f t="shared" si="1"/>
      </c>
      <c r="C930" s="35"/>
      <c r="D930" s="36"/>
      <c r="E930" s="37"/>
      <c r="F930" s="38"/>
      <c r="G930" s="39" t="str">
        <f t="shared" si="2"/>
      </c>
      <c r="H930" s="40"/>
      <c r="I930" s="41"/>
      <c r="J930" s="41"/>
      <c r="K930" s="41"/>
      <c r="L930" s="42"/>
      <c r="M930" s="43"/>
      <c r="N930" s="44"/>
      <c r="O930" s="45"/>
      <c r="P930" s="46" t="str">
        <f>IFERROR(__xludf.DUMMYFUNCTION("IF(OR(AND(C930&lt;&gt;"""", LEN(C930)&lt;3), LEN(C930)&gt;60, AND(D930&lt;&gt;"""", NOT(ISNUMBER(D930))), AND(ISNUMBER(D930), OR(D930&lt;0.01, D930&gt;999999999)), AND(COUNTA(D930:F930, H930:N930)&gt;0, C930=""""),                  
  AND(COUNTA(C930, H930:N930)&gt;0, D930=""""), LEN("&amp;"H930)&gt;50, AND(I930&lt;&gt;"""", NOT(ISNUMBER(I930))), AND(ISNUMBER(I930), OR(I930&lt;0, I930&gt;99998)), AND(L930&lt;&gt;"""", NOT(REGEXMATCH(L930&amp;"""", ""^\d{8,14}$"")))), ""Erro"", """")"),"")</f>
      </c>
    </row>
    <row r="931" ht="15.75" customHeight="true">
      <c r="A931" s="33"/>
      <c r="B931" s="34" t="str">
        <f t="shared" si="1"/>
      </c>
      <c r="C931" s="35"/>
      <c r="D931" s="36"/>
      <c r="E931" s="37"/>
      <c r="F931" s="38"/>
      <c r="G931" s="39" t="str">
        <f t="shared" si="2"/>
      </c>
      <c r="H931" s="40"/>
      <c r="I931" s="41"/>
      <c r="J931" s="41"/>
      <c r="K931" s="41"/>
      <c r="L931" s="42"/>
      <c r="M931" s="43"/>
      <c r="N931" s="44"/>
      <c r="O931" s="45"/>
      <c r="P931" s="46" t="str">
        <f>IFERROR(__xludf.DUMMYFUNCTION("IF(OR(AND(C931&lt;&gt;"""", LEN(C931)&lt;3), LEN(C931)&gt;60, AND(D931&lt;&gt;"""", NOT(ISNUMBER(D931))), AND(ISNUMBER(D931), OR(D931&lt;0.01, D931&gt;999999999)), AND(COUNTA(D931:F931, H931:N931)&gt;0, C931=""""),                  
  AND(COUNTA(C931, H931:N931)&gt;0, D931=""""), LEN("&amp;"H931)&gt;50, AND(I931&lt;&gt;"""", NOT(ISNUMBER(I931))), AND(ISNUMBER(I931), OR(I931&lt;0, I931&gt;99998)), AND(L931&lt;&gt;"""", NOT(REGEXMATCH(L931&amp;"""", ""^\d{8,14}$"")))), ""Erro"", """")"),"")</f>
      </c>
    </row>
    <row r="932" ht="15.75" customHeight="true">
      <c r="A932" s="33"/>
      <c r="B932" s="34" t="str">
        <f t="shared" si="1"/>
      </c>
      <c r="C932" s="35"/>
      <c r="D932" s="36"/>
      <c r="E932" s="37"/>
      <c r="F932" s="38"/>
      <c r="G932" s="39" t="str">
        <f t="shared" si="2"/>
      </c>
      <c r="H932" s="40"/>
      <c r="I932" s="41"/>
      <c r="J932" s="41"/>
      <c r="K932" s="41"/>
      <c r="L932" s="42"/>
      <c r="M932" s="43"/>
      <c r="N932" s="44"/>
      <c r="O932" s="45"/>
      <c r="P932" s="46" t="str">
        <f>IFERROR(__xludf.DUMMYFUNCTION("IF(OR(AND(C932&lt;&gt;"""", LEN(C932)&lt;3), LEN(C932)&gt;60, AND(D932&lt;&gt;"""", NOT(ISNUMBER(D932))), AND(ISNUMBER(D932), OR(D932&lt;0.01, D932&gt;999999999)), AND(COUNTA(D932:F932, H932:N932)&gt;0, C932=""""),                  
  AND(COUNTA(C932, H932:N932)&gt;0, D932=""""), LEN("&amp;"H932)&gt;50, AND(I932&lt;&gt;"""", NOT(ISNUMBER(I932))), AND(ISNUMBER(I932), OR(I932&lt;0, I932&gt;99998)), AND(L932&lt;&gt;"""", NOT(REGEXMATCH(L932&amp;"""", ""^\d{8,14}$"")))), ""Erro"", """")"),"")</f>
      </c>
    </row>
    <row r="933" ht="15.75" customHeight="true">
      <c r="A933" s="33"/>
      <c r="B933" s="34" t="str">
        <f t="shared" si="1"/>
      </c>
      <c r="C933" s="35"/>
      <c r="D933" s="36"/>
      <c r="E933" s="37"/>
      <c r="F933" s="38"/>
      <c r="G933" s="39" t="str">
        <f t="shared" si="2"/>
      </c>
      <c r="H933" s="40"/>
      <c r="I933" s="41"/>
      <c r="J933" s="41"/>
      <c r="K933" s="41"/>
      <c r="L933" s="42"/>
      <c r="M933" s="43"/>
      <c r="N933" s="44"/>
      <c r="O933" s="45"/>
      <c r="P933" s="46" t="str">
        <f>IFERROR(__xludf.DUMMYFUNCTION("IF(OR(AND(C933&lt;&gt;"""", LEN(C933)&lt;3), LEN(C933)&gt;60, AND(D933&lt;&gt;"""", NOT(ISNUMBER(D933))), AND(ISNUMBER(D933), OR(D933&lt;0.01, D933&gt;999999999)), AND(COUNTA(D933:F933, H933:N933)&gt;0, C933=""""),                  
  AND(COUNTA(C933, H933:N933)&gt;0, D933=""""), LEN("&amp;"H933)&gt;50, AND(I933&lt;&gt;"""", NOT(ISNUMBER(I933))), AND(ISNUMBER(I933), OR(I933&lt;0, I933&gt;99998)), AND(L933&lt;&gt;"""", NOT(REGEXMATCH(L933&amp;"""", ""^\d{8,14}$"")))), ""Erro"", """")"),"")</f>
      </c>
    </row>
    <row r="934" ht="15.75" customHeight="true">
      <c r="A934" s="33"/>
      <c r="B934" s="34" t="str">
        <f t="shared" si="1"/>
      </c>
      <c r="C934" s="35"/>
      <c r="D934" s="36"/>
      <c r="E934" s="37"/>
      <c r="F934" s="38"/>
      <c r="G934" s="39" t="str">
        <f t="shared" si="2"/>
      </c>
      <c r="H934" s="40"/>
      <c r="I934" s="41"/>
      <c r="J934" s="41"/>
      <c r="K934" s="41"/>
      <c r="L934" s="42"/>
      <c r="M934" s="43"/>
      <c r="N934" s="44"/>
      <c r="O934" s="45"/>
      <c r="P934" s="46" t="str">
        <f>IFERROR(__xludf.DUMMYFUNCTION("IF(OR(AND(C934&lt;&gt;"""", LEN(C934)&lt;3), LEN(C934)&gt;60, AND(D934&lt;&gt;"""", NOT(ISNUMBER(D934))), AND(ISNUMBER(D934), OR(D934&lt;0.01, D934&gt;999999999)), AND(COUNTA(D934:F934, H934:N934)&gt;0, C934=""""),                  
  AND(COUNTA(C934, H934:N934)&gt;0, D934=""""), LEN("&amp;"H934)&gt;50, AND(I934&lt;&gt;"""", NOT(ISNUMBER(I934))), AND(ISNUMBER(I934), OR(I934&lt;0, I934&gt;99998)), AND(L934&lt;&gt;"""", NOT(REGEXMATCH(L934&amp;"""", ""^\d{8,14}$"")))), ""Erro"", """")"),"")</f>
      </c>
    </row>
    <row r="935" ht="15.75" customHeight="true">
      <c r="A935" s="33"/>
      <c r="B935" s="34" t="str">
        <f t="shared" si="1"/>
      </c>
      <c r="C935" s="35"/>
      <c r="D935" s="36"/>
      <c r="E935" s="37"/>
      <c r="F935" s="38"/>
      <c r="G935" s="39" t="str">
        <f t="shared" si="2"/>
      </c>
      <c r="H935" s="40"/>
      <c r="I935" s="41"/>
      <c r="J935" s="41"/>
      <c r="K935" s="41"/>
      <c r="L935" s="42"/>
      <c r="M935" s="43"/>
      <c r="N935" s="44"/>
      <c r="O935" s="45"/>
      <c r="P935" s="46" t="str">
        <f>IFERROR(__xludf.DUMMYFUNCTION("IF(OR(AND(C935&lt;&gt;"""", LEN(C935)&lt;3), LEN(C935)&gt;60, AND(D935&lt;&gt;"""", NOT(ISNUMBER(D935))), AND(ISNUMBER(D935), OR(D935&lt;0.01, D935&gt;999999999)), AND(COUNTA(D935:F935, H935:N935)&gt;0, C935=""""),                  
  AND(COUNTA(C935, H935:N935)&gt;0, D935=""""), LEN("&amp;"H935)&gt;50, AND(I935&lt;&gt;"""", NOT(ISNUMBER(I935))), AND(ISNUMBER(I935), OR(I935&lt;0, I935&gt;99998)), AND(L935&lt;&gt;"""", NOT(REGEXMATCH(L935&amp;"""", ""^\d{8,14}$"")))), ""Erro"", """")"),"")</f>
      </c>
    </row>
    <row r="936" ht="15.75" customHeight="true">
      <c r="A936" s="33"/>
      <c r="B936" s="34" t="str">
        <f t="shared" si="1"/>
      </c>
      <c r="C936" s="35"/>
      <c r="D936" s="36"/>
      <c r="E936" s="37"/>
      <c r="F936" s="38"/>
      <c r="G936" s="39" t="str">
        <f t="shared" si="2"/>
      </c>
      <c r="H936" s="40"/>
      <c r="I936" s="41"/>
      <c r="J936" s="41"/>
      <c r="K936" s="41"/>
      <c r="L936" s="42"/>
      <c r="M936" s="43"/>
      <c r="N936" s="44"/>
      <c r="O936" s="45"/>
      <c r="P936" s="46" t="str">
        <f>IFERROR(__xludf.DUMMYFUNCTION("IF(OR(AND(C936&lt;&gt;"""", LEN(C936)&lt;3), LEN(C936)&gt;60, AND(D936&lt;&gt;"""", NOT(ISNUMBER(D936))), AND(ISNUMBER(D936), OR(D936&lt;0.01, D936&gt;999999999)), AND(COUNTA(D936:F936, H936:N936)&gt;0, C936=""""),                  
  AND(COUNTA(C936, H936:N936)&gt;0, D936=""""), LEN("&amp;"H936)&gt;50, AND(I936&lt;&gt;"""", NOT(ISNUMBER(I936))), AND(ISNUMBER(I936), OR(I936&lt;0, I936&gt;99998)), AND(L936&lt;&gt;"""", NOT(REGEXMATCH(L936&amp;"""", ""^\d{8,14}$"")))), ""Erro"", """")"),"")</f>
      </c>
    </row>
    <row r="937" ht="15.75" customHeight="true">
      <c r="A937" s="33"/>
      <c r="B937" s="34" t="str">
        <f t="shared" si="1"/>
      </c>
      <c r="C937" s="35"/>
      <c r="D937" s="36"/>
      <c r="E937" s="37"/>
      <c r="F937" s="38"/>
      <c r="G937" s="39" t="str">
        <f t="shared" si="2"/>
      </c>
      <c r="H937" s="40"/>
      <c r="I937" s="41"/>
      <c r="J937" s="41"/>
      <c r="K937" s="41"/>
      <c r="L937" s="42"/>
      <c r="M937" s="43"/>
      <c r="N937" s="44"/>
      <c r="O937" s="45"/>
      <c r="P937" s="46" t="str">
        <f>IFERROR(__xludf.DUMMYFUNCTION("IF(OR(AND(C937&lt;&gt;"""", LEN(C937)&lt;3), LEN(C937)&gt;60, AND(D937&lt;&gt;"""", NOT(ISNUMBER(D937))), AND(ISNUMBER(D937), OR(D937&lt;0.01, D937&gt;999999999)), AND(COUNTA(D937:F937, H937:N937)&gt;0, C937=""""),                  
  AND(COUNTA(C937, H937:N937)&gt;0, D937=""""), LEN("&amp;"H937)&gt;50, AND(I937&lt;&gt;"""", NOT(ISNUMBER(I937))), AND(ISNUMBER(I937), OR(I937&lt;0, I937&gt;99998)), AND(L937&lt;&gt;"""", NOT(REGEXMATCH(L937&amp;"""", ""^\d{8,14}$"")))), ""Erro"", """")"),"")</f>
      </c>
    </row>
    <row r="938" ht="15.75" customHeight="true">
      <c r="A938" s="33"/>
      <c r="B938" s="34" t="str">
        <f t="shared" si="1"/>
      </c>
      <c r="C938" s="35"/>
      <c r="D938" s="36"/>
      <c r="E938" s="37"/>
      <c r="F938" s="38"/>
      <c r="G938" s="39" t="str">
        <f t="shared" si="2"/>
      </c>
      <c r="H938" s="40"/>
      <c r="I938" s="41"/>
      <c r="J938" s="41"/>
      <c r="K938" s="41"/>
      <c r="L938" s="42"/>
      <c r="M938" s="43"/>
      <c r="N938" s="44"/>
      <c r="O938" s="45"/>
      <c r="P938" s="46" t="str">
        <f>IFERROR(__xludf.DUMMYFUNCTION("IF(OR(AND(C938&lt;&gt;"""", LEN(C938)&lt;3), LEN(C938)&gt;60, AND(D938&lt;&gt;"""", NOT(ISNUMBER(D938))), AND(ISNUMBER(D938), OR(D938&lt;0.01, D938&gt;999999999)), AND(COUNTA(D938:F938, H938:N938)&gt;0, C938=""""),                  
  AND(COUNTA(C938, H938:N938)&gt;0, D938=""""), LEN("&amp;"H938)&gt;50, AND(I938&lt;&gt;"""", NOT(ISNUMBER(I938))), AND(ISNUMBER(I938), OR(I938&lt;0, I938&gt;99998)), AND(L938&lt;&gt;"""", NOT(REGEXMATCH(L938&amp;"""", ""^\d{8,14}$"")))), ""Erro"", """")"),"")</f>
      </c>
    </row>
    <row r="939" ht="15.75" customHeight="true">
      <c r="A939" s="33"/>
      <c r="B939" s="34" t="str">
        <f t="shared" si="1"/>
      </c>
      <c r="C939" s="35"/>
      <c r="D939" s="36"/>
      <c r="E939" s="37"/>
      <c r="F939" s="38"/>
      <c r="G939" s="39" t="str">
        <f t="shared" si="2"/>
      </c>
      <c r="H939" s="40"/>
      <c r="I939" s="41"/>
      <c r="J939" s="41"/>
      <c r="K939" s="41"/>
      <c r="L939" s="42"/>
      <c r="M939" s="43"/>
      <c r="N939" s="44"/>
      <c r="O939" s="45"/>
      <c r="P939" s="46" t="str">
        <f>IFERROR(__xludf.DUMMYFUNCTION("IF(OR(AND(C939&lt;&gt;"""", LEN(C939)&lt;3), LEN(C939)&gt;60, AND(D939&lt;&gt;"""", NOT(ISNUMBER(D939))), AND(ISNUMBER(D939), OR(D939&lt;0.01, D939&gt;999999999)), AND(COUNTA(D939:F939, H939:N939)&gt;0, C939=""""),                  
  AND(COUNTA(C939, H939:N939)&gt;0, D939=""""), LEN("&amp;"H939)&gt;50, AND(I939&lt;&gt;"""", NOT(ISNUMBER(I939))), AND(ISNUMBER(I939), OR(I939&lt;0, I939&gt;99998)), AND(L939&lt;&gt;"""", NOT(REGEXMATCH(L939&amp;"""", ""^\d{8,14}$"")))), ""Erro"", """")"),"")</f>
      </c>
    </row>
    <row r="940" ht="15.75" customHeight="true">
      <c r="A940" s="33"/>
      <c r="B940" s="34" t="str">
        <f t="shared" si="1"/>
      </c>
      <c r="C940" s="35"/>
      <c r="D940" s="36"/>
      <c r="E940" s="37"/>
      <c r="F940" s="38"/>
      <c r="G940" s="39" t="str">
        <f t="shared" si="2"/>
      </c>
      <c r="H940" s="40"/>
      <c r="I940" s="41"/>
      <c r="J940" s="41"/>
      <c r="K940" s="41"/>
      <c r="L940" s="42"/>
      <c r="M940" s="43"/>
      <c r="N940" s="44"/>
      <c r="O940" s="45"/>
      <c r="P940" s="46" t="str">
        <f>IFERROR(__xludf.DUMMYFUNCTION("IF(OR(AND(C940&lt;&gt;"""", LEN(C940)&lt;3), LEN(C940)&gt;60, AND(D940&lt;&gt;"""", NOT(ISNUMBER(D940))), AND(ISNUMBER(D940), OR(D940&lt;0.01, D940&gt;999999999)), AND(COUNTA(D940:F940, H940:N940)&gt;0, C940=""""),                  
  AND(COUNTA(C940, H940:N940)&gt;0, D940=""""), LEN("&amp;"H940)&gt;50, AND(I940&lt;&gt;"""", NOT(ISNUMBER(I940))), AND(ISNUMBER(I940), OR(I940&lt;0, I940&gt;99998)), AND(L940&lt;&gt;"""", NOT(REGEXMATCH(L940&amp;"""", ""^\d{8,14}$"")))), ""Erro"", """")"),"")</f>
      </c>
    </row>
    <row r="941" ht="15.75" customHeight="true">
      <c r="A941" s="33"/>
      <c r="B941" s="34" t="str">
        <f t="shared" si="1"/>
      </c>
      <c r="C941" s="35"/>
      <c r="D941" s="36"/>
      <c r="E941" s="37"/>
      <c r="F941" s="38"/>
      <c r="G941" s="39" t="str">
        <f t="shared" si="2"/>
      </c>
      <c r="H941" s="40"/>
      <c r="I941" s="41"/>
      <c r="J941" s="41"/>
      <c r="K941" s="41"/>
      <c r="L941" s="42"/>
      <c r="M941" s="43"/>
      <c r="N941" s="44"/>
      <c r="O941" s="45"/>
      <c r="P941" s="46" t="str">
        <f>IFERROR(__xludf.DUMMYFUNCTION("IF(OR(AND(C941&lt;&gt;"""", LEN(C941)&lt;3), LEN(C941)&gt;60, AND(D941&lt;&gt;"""", NOT(ISNUMBER(D941))), AND(ISNUMBER(D941), OR(D941&lt;0.01, D941&gt;999999999)), AND(COUNTA(D941:F941, H941:N941)&gt;0, C941=""""),                  
  AND(COUNTA(C941, H941:N941)&gt;0, D941=""""), LEN("&amp;"H941)&gt;50, AND(I941&lt;&gt;"""", NOT(ISNUMBER(I941))), AND(ISNUMBER(I941), OR(I941&lt;0, I941&gt;99998)), AND(L941&lt;&gt;"""", NOT(REGEXMATCH(L941&amp;"""", ""^\d{8,14}$"")))), ""Erro"", """")"),"")</f>
      </c>
    </row>
    <row r="942" ht="15.75" customHeight="true">
      <c r="A942" s="33"/>
      <c r="B942" s="34" t="str">
        <f t="shared" si="1"/>
      </c>
      <c r="C942" s="35"/>
      <c r="D942" s="36"/>
      <c r="E942" s="37"/>
      <c r="F942" s="38"/>
      <c r="G942" s="39" t="str">
        <f t="shared" si="2"/>
      </c>
      <c r="H942" s="40"/>
      <c r="I942" s="41"/>
      <c r="J942" s="41"/>
      <c r="K942" s="41"/>
      <c r="L942" s="42"/>
      <c r="M942" s="43"/>
      <c r="N942" s="44"/>
      <c r="O942" s="45"/>
      <c r="P942" s="46" t="str">
        <f>IFERROR(__xludf.DUMMYFUNCTION("IF(OR(AND(C942&lt;&gt;"""", LEN(C942)&lt;3), LEN(C942)&gt;60, AND(D942&lt;&gt;"""", NOT(ISNUMBER(D942))), AND(ISNUMBER(D942), OR(D942&lt;0.01, D942&gt;999999999)), AND(COUNTA(D942:F942, H942:N942)&gt;0, C942=""""),                  
  AND(COUNTA(C942, H942:N942)&gt;0, D942=""""), LEN("&amp;"H942)&gt;50, AND(I942&lt;&gt;"""", NOT(ISNUMBER(I942))), AND(ISNUMBER(I942), OR(I942&lt;0, I942&gt;99998)), AND(L942&lt;&gt;"""", NOT(REGEXMATCH(L942&amp;"""", ""^\d{8,14}$"")))), ""Erro"", """")"),"")</f>
      </c>
    </row>
    <row r="943" ht="15.75" customHeight="true">
      <c r="A943" s="33"/>
      <c r="B943" s="34" t="str">
        <f t="shared" si="1"/>
      </c>
      <c r="C943" s="35"/>
      <c r="D943" s="36"/>
      <c r="E943" s="37"/>
      <c r="F943" s="38"/>
      <c r="G943" s="39" t="str">
        <f t="shared" si="2"/>
      </c>
      <c r="H943" s="40"/>
      <c r="I943" s="41"/>
      <c r="J943" s="41"/>
      <c r="K943" s="41"/>
      <c r="L943" s="42"/>
      <c r="M943" s="43"/>
      <c r="N943" s="44"/>
      <c r="O943" s="45"/>
      <c r="P943" s="46" t="str">
        <f>IFERROR(__xludf.DUMMYFUNCTION("IF(OR(AND(C943&lt;&gt;"""", LEN(C943)&lt;3), LEN(C943)&gt;60, AND(D943&lt;&gt;"""", NOT(ISNUMBER(D943))), AND(ISNUMBER(D943), OR(D943&lt;0.01, D943&gt;999999999)), AND(COUNTA(D943:F943, H943:N943)&gt;0, C943=""""),                  
  AND(COUNTA(C943, H943:N943)&gt;0, D943=""""), LEN("&amp;"H943)&gt;50, AND(I943&lt;&gt;"""", NOT(ISNUMBER(I943))), AND(ISNUMBER(I943), OR(I943&lt;0, I943&gt;99998)), AND(L943&lt;&gt;"""", NOT(REGEXMATCH(L943&amp;"""", ""^\d{8,14}$"")))), ""Erro"", """")"),"")</f>
      </c>
    </row>
    <row r="944" ht="15.75" customHeight="true">
      <c r="A944" s="33"/>
      <c r="B944" s="34" t="str">
        <f t="shared" si="1"/>
      </c>
      <c r="C944" s="35"/>
      <c r="D944" s="36"/>
      <c r="E944" s="37"/>
      <c r="F944" s="38"/>
      <c r="G944" s="39" t="str">
        <f t="shared" si="2"/>
      </c>
      <c r="H944" s="40"/>
      <c r="I944" s="41"/>
      <c r="J944" s="41"/>
      <c r="K944" s="41"/>
      <c r="L944" s="42"/>
      <c r="M944" s="43"/>
      <c r="N944" s="44"/>
      <c r="O944" s="45"/>
      <c r="P944" s="46" t="str">
        <f>IFERROR(__xludf.DUMMYFUNCTION("IF(OR(AND(C944&lt;&gt;"""", LEN(C944)&lt;3), LEN(C944)&gt;60, AND(D944&lt;&gt;"""", NOT(ISNUMBER(D944))), AND(ISNUMBER(D944), OR(D944&lt;0.01, D944&gt;999999999)), AND(COUNTA(D944:F944, H944:N944)&gt;0, C944=""""),                  
  AND(COUNTA(C944, H944:N944)&gt;0, D944=""""), LEN("&amp;"H944)&gt;50, AND(I944&lt;&gt;"""", NOT(ISNUMBER(I944))), AND(ISNUMBER(I944), OR(I944&lt;0, I944&gt;99998)), AND(L944&lt;&gt;"""", NOT(REGEXMATCH(L944&amp;"""", ""^\d{8,14}$"")))), ""Erro"", """")"),"")</f>
      </c>
    </row>
    <row r="945" ht="15.75" customHeight="true">
      <c r="A945" s="33"/>
      <c r="B945" s="34" t="str">
        <f t="shared" si="1"/>
      </c>
      <c r="C945" s="35"/>
      <c r="D945" s="36"/>
      <c r="E945" s="37"/>
      <c r="F945" s="38"/>
      <c r="G945" s="39" t="str">
        <f t="shared" si="2"/>
      </c>
      <c r="H945" s="40"/>
      <c r="I945" s="41"/>
      <c r="J945" s="41"/>
      <c r="K945" s="41"/>
      <c r="L945" s="42"/>
      <c r="M945" s="43"/>
      <c r="N945" s="44"/>
      <c r="O945" s="45"/>
      <c r="P945" s="46" t="str">
        <f>IFERROR(__xludf.DUMMYFUNCTION("IF(OR(AND(C945&lt;&gt;"""", LEN(C945)&lt;3), LEN(C945)&gt;60, AND(D945&lt;&gt;"""", NOT(ISNUMBER(D945))), AND(ISNUMBER(D945), OR(D945&lt;0.01, D945&gt;999999999)), AND(COUNTA(D945:F945, H945:N945)&gt;0, C945=""""),                  
  AND(COUNTA(C945, H945:N945)&gt;0, D945=""""), LEN("&amp;"H945)&gt;50, AND(I945&lt;&gt;"""", NOT(ISNUMBER(I945))), AND(ISNUMBER(I945), OR(I945&lt;0, I945&gt;99998)), AND(L945&lt;&gt;"""", NOT(REGEXMATCH(L945&amp;"""", ""^\d{8,14}$"")))), ""Erro"", """")"),"")</f>
      </c>
    </row>
    <row r="946" ht="15.75" customHeight="true">
      <c r="A946" s="33"/>
      <c r="B946" s="34" t="str">
        <f t="shared" si="1"/>
      </c>
      <c r="C946" s="35"/>
      <c r="D946" s="36"/>
      <c r="E946" s="37"/>
      <c r="F946" s="38"/>
      <c r="G946" s="39" t="str">
        <f t="shared" si="2"/>
      </c>
      <c r="H946" s="40"/>
      <c r="I946" s="41"/>
      <c r="J946" s="41"/>
      <c r="K946" s="41"/>
      <c r="L946" s="42"/>
      <c r="M946" s="43"/>
      <c r="N946" s="44"/>
      <c r="O946" s="45"/>
      <c r="P946" s="46" t="str">
        <f>IFERROR(__xludf.DUMMYFUNCTION("IF(OR(AND(C946&lt;&gt;"""", LEN(C946)&lt;3), LEN(C946)&gt;60, AND(D946&lt;&gt;"""", NOT(ISNUMBER(D946))), AND(ISNUMBER(D946), OR(D946&lt;0.01, D946&gt;999999999)), AND(COUNTA(D946:F946, H946:N946)&gt;0, C946=""""),                  
  AND(COUNTA(C946, H946:N946)&gt;0, D946=""""), LEN("&amp;"H946)&gt;50, AND(I946&lt;&gt;"""", NOT(ISNUMBER(I946))), AND(ISNUMBER(I946), OR(I946&lt;0, I946&gt;99998)), AND(L946&lt;&gt;"""", NOT(REGEXMATCH(L946&amp;"""", ""^\d{8,14}$"")))), ""Erro"", """")"),"")</f>
      </c>
    </row>
    <row r="947" ht="15.75" customHeight="true">
      <c r="A947" s="33"/>
      <c r="B947" s="34" t="str">
        <f t="shared" si="1"/>
      </c>
      <c r="C947" s="35"/>
      <c r="D947" s="36"/>
      <c r="E947" s="37"/>
      <c r="F947" s="38"/>
      <c r="G947" s="39" t="str">
        <f t="shared" si="2"/>
      </c>
      <c r="H947" s="40"/>
      <c r="I947" s="41"/>
      <c r="J947" s="41"/>
      <c r="K947" s="41"/>
      <c r="L947" s="42"/>
      <c r="M947" s="43"/>
      <c r="N947" s="44"/>
      <c r="O947" s="45"/>
      <c r="P947" s="46" t="str">
        <f>IFERROR(__xludf.DUMMYFUNCTION("IF(OR(AND(C947&lt;&gt;"""", LEN(C947)&lt;3), LEN(C947)&gt;60, AND(D947&lt;&gt;"""", NOT(ISNUMBER(D947))), AND(ISNUMBER(D947), OR(D947&lt;0.01, D947&gt;999999999)), AND(COUNTA(D947:F947, H947:N947)&gt;0, C947=""""),                  
  AND(COUNTA(C947, H947:N947)&gt;0, D947=""""), LEN("&amp;"H947)&gt;50, AND(I947&lt;&gt;"""", NOT(ISNUMBER(I947))), AND(ISNUMBER(I947), OR(I947&lt;0, I947&gt;99998)), AND(L947&lt;&gt;"""", NOT(REGEXMATCH(L947&amp;"""", ""^\d{8,14}$"")))), ""Erro"", """")"),"")</f>
      </c>
    </row>
    <row r="948" ht="15.75" customHeight="true">
      <c r="A948" s="33"/>
      <c r="B948" s="34" t="str">
        <f t="shared" si="1"/>
      </c>
      <c r="C948" s="35"/>
      <c r="D948" s="36"/>
      <c r="E948" s="37"/>
      <c r="F948" s="38"/>
      <c r="G948" s="39" t="str">
        <f t="shared" si="2"/>
      </c>
      <c r="H948" s="40"/>
      <c r="I948" s="41"/>
      <c r="J948" s="41"/>
      <c r="K948" s="41"/>
      <c r="L948" s="42"/>
      <c r="M948" s="43"/>
      <c r="N948" s="44"/>
      <c r="O948" s="45"/>
      <c r="P948" s="46" t="str">
        <f>IFERROR(__xludf.DUMMYFUNCTION("IF(OR(AND(C948&lt;&gt;"""", LEN(C948)&lt;3), LEN(C948)&gt;60, AND(D948&lt;&gt;"""", NOT(ISNUMBER(D948))), AND(ISNUMBER(D948), OR(D948&lt;0.01, D948&gt;999999999)), AND(COUNTA(D948:F948, H948:N948)&gt;0, C948=""""),                  
  AND(COUNTA(C948, H948:N948)&gt;0, D948=""""), LEN("&amp;"H948)&gt;50, AND(I948&lt;&gt;"""", NOT(ISNUMBER(I948))), AND(ISNUMBER(I948), OR(I948&lt;0, I948&gt;99998)), AND(L948&lt;&gt;"""", NOT(REGEXMATCH(L948&amp;"""", ""^\d{8,14}$"")))), ""Erro"", """")"),"")</f>
      </c>
    </row>
    <row r="949" ht="15.75" customHeight="true">
      <c r="A949" s="33"/>
      <c r="B949" s="34" t="str">
        <f t="shared" si="1"/>
      </c>
      <c r="C949" s="35"/>
      <c r="D949" s="36"/>
      <c r="E949" s="37"/>
      <c r="F949" s="38"/>
      <c r="G949" s="39" t="str">
        <f t="shared" si="2"/>
      </c>
      <c r="H949" s="40"/>
      <c r="I949" s="41"/>
      <c r="J949" s="41"/>
      <c r="K949" s="41"/>
      <c r="L949" s="42"/>
      <c r="M949" s="43"/>
      <c r="N949" s="44"/>
      <c r="O949" s="45"/>
      <c r="P949" s="46" t="str">
        <f>IFERROR(__xludf.DUMMYFUNCTION("IF(OR(AND(C949&lt;&gt;"""", LEN(C949)&lt;3), LEN(C949)&gt;60, AND(D949&lt;&gt;"""", NOT(ISNUMBER(D949))), AND(ISNUMBER(D949), OR(D949&lt;0.01, D949&gt;999999999)), AND(COUNTA(D949:F949, H949:N949)&gt;0, C949=""""),                  
  AND(COUNTA(C949, H949:N949)&gt;0, D949=""""), LEN("&amp;"H949)&gt;50, AND(I949&lt;&gt;"""", NOT(ISNUMBER(I949))), AND(ISNUMBER(I949), OR(I949&lt;0, I949&gt;99998)), AND(L949&lt;&gt;"""", NOT(REGEXMATCH(L949&amp;"""", ""^\d{8,14}$"")))), ""Erro"", """")"),"")</f>
      </c>
    </row>
    <row r="950" ht="15.75" customHeight="true">
      <c r="A950" s="33"/>
      <c r="B950" s="34" t="str">
        <f t="shared" si="1"/>
      </c>
      <c r="C950" s="35"/>
      <c r="D950" s="36"/>
      <c r="E950" s="37"/>
      <c r="F950" s="38"/>
      <c r="G950" s="39" t="str">
        <f t="shared" si="2"/>
      </c>
      <c r="H950" s="40"/>
      <c r="I950" s="41"/>
      <c r="J950" s="41"/>
      <c r="K950" s="41"/>
      <c r="L950" s="42"/>
      <c r="M950" s="43"/>
      <c r="N950" s="44"/>
      <c r="O950" s="45"/>
      <c r="P950" s="46" t="str">
        <f>IFERROR(__xludf.DUMMYFUNCTION("IF(OR(AND(C950&lt;&gt;"""", LEN(C950)&lt;3), LEN(C950)&gt;60, AND(D950&lt;&gt;"""", NOT(ISNUMBER(D950))), AND(ISNUMBER(D950), OR(D950&lt;0.01, D950&gt;999999999)), AND(COUNTA(D950:F950, H950:N950)&gt;0, C950=""""),                  
  AND(COUNTA(C950, H950:N950)&gt;0, D950=""""), LEN("&amp;"H950)&gt;50, AND(I950&lt;&gt;"""", NOT(ISNUMBER(I950))), AND(ISNUMBER(I950), OR(I950&lt;0, I950&gt;99998)), AND(L950&lt;&gt;"""", NOT(REGEXMATCH(L950&amp;"""", ""^\d{8,14}$"")))), ""Erro"", """")"),"")</f>
      </c>
    </row>
    <row r="951" ht="15.75" customHeight="true">
      <c r="A951" s="33"/>
      <c r="B951" s="34" t="str">
        <f t="shared" si="1"/>
      </c>
      <c r="C951" s="35"/>
      <c r="D951" s="36"/>
      <c r="E951" s="37"/>
      <c r="F951" s="38"/>
      <c r="G951" s="39" t="str">
        <f t="shared" si="2"/>
      </c>
      <c r="H951" s="40"/>
      <c r="I951" s="41"/>
      <c r="J951" s="41"/>
      <c r="K951" s="41"/>
      <c r="L951" s="42"/>
      <c r="M951" s="43"/>
      <c r="N951" s="44"/>
      <c r="O951" s="45"/>
      <c r="P951" s="46" t="str">
        <f>IFERROR(__xludf.DUMMYFUNCTION("IF(OR(AND(C951&lt;&gt;"""", LEN(C951)&lt;3), LEN(C951)&gt;60, AND(D951&lt;&gt;"""", NOT(ISNUMBER(D951))), AND(ISNUMBER(D951), OR(D951&lt;0.01, D951&gt;999999999)), AND(COUNTA(D951:F951, H951:N951)&gt;0, C951=""""),                  
  AND(COUNTA(C951, H951:N951)&gt;0, D951=""""), LEN("&amp;"H951)&gt;50, AND(I951&lt;&gt;"""", NOT(ISNUMBER(I951))), AND(ISNUMBER(I951), OR(I951&lt;0, I951&gt;99998)), AND(L951&lt;&gt;"""", NOT(REGEXMATCH(L951&amp;"""", ""^\d{8,14}$"")))), ""Erro"", """")"),"")</f>
      </c>
    </row>
    <row r="952" ht="15.75" customHeight="true">
      <c r="A952" s="33"/>
      <c r="B952" s="34" t="str">
        <f t="shared" si="1"/>
      </c>
      <c r="C952" s="35"/>
      <c r="D952" s="36"/>
      <c r="E952" s="37"/>
      <c r="F952" s="38"/>
      <c r="G952" s="39" t="str">
        <f t="shared" si="2"/>
      </c>
      <c r="H952" s="40"/>
      <c r="I952" s="41"/>
      <c r="J952" s="41"/>
      <c r="K952" s="41"/>
      <c r="L952" s="42"/>
      <c r="M952" s="43"/>
      <c r="N952" s="44"/>
      <c r="O952" s="45"/>
      <c r="P952" s="46" t="str">
        <f>IFERROR(__xludf.DUMMYFUNCTION("IF(OR(AND(C952&lt;&gt;"""", LEN(C952)&lt;3), LEN(C952)&gt;60, AND(D952&lt;&gt;"""", NOT(ISNUMBER(D952))), AND(ISNUMBER(D952), OR(D952&lt;0.01, D952&gt;999999999)), AND(COUNTA(D952:F952, H952:N952)&gt;0, C952=""""),                  
  AND(COUNTA(C952, H952:N952)&gt;0, D952=""""), LEN("&amp;"H952)&gt;50, AND(I952&lt;&gt;"""", NOT(ISNUMBER(I952))), AND(ISNUMBER(I952), OR(I952&lt;0, I952&gt;99998)), AND(L952&lt;&gt;"""", NOT(REGEXMATCH(L952&amp;"""", ""^\d{8,14}$"")))), ""Erro"", """")"),"")</f>
      </c>
    </row>
    <row r="953" ht="15.75" customHeight="true">
      <c r="A953" s="33"/>
      <c r="B953" s="34" t="str">
        <f t="shared" si="1"/>
      </c>
      <c r="C953" s="35"/>
      <c r="D953" s="36"/>
      <c r="E953" s="37"/>
      <c r="F953" s="38"/>
      <c r="G953" s="39" t="str">
        <f t="shared" si="2"/>
      </c>
      <c r="H953" s="40"/>
      <c r="I953" s="41"/>
      <c r="J953" s="41"/>
      <c r="K953" s="41"/>
      <c r="L953" s="42"/>
      <c r="M953" s="43"/>
      <c r="N953" s="44"/>
      <c r="O953" s="45"/>
      <c r="P953" s="46" t="str">
        <f>IFERROR(__xludf.DUMMYFUNCTION("IF(OR(AND(C953&lt;&gt;"""", LEN(C953)&lt;3), LEN(C953)&gt;60, AND(D953&lt;&gt;"""", NOT(ISNUMBER(D953))), AND(ISNUMBER(D953), OR(D953&lt;0.01, D953&gt;999999999)), AND(COUNTA(D953:F953, H953:N953)&gt;0, C953=""""),                  
  AND(COUNTA(C953, H953:N953)&gt;0, D953=""""), LEN("&amp;"H953)&gt;50, AND(I953&lt;&gt;"""", NOT(ISNUMBER(I953))), AND(ISNUMBER(I953), OR(I953&lt;0, I953&gt;99998)), AND(L953&lt;&gt;"""", NOT(REGEXMATCH(L953&amp;"""", ""^\d{8,14}$"")))), ""Erro"", """")"),"")</f>
      </c>
    </row>
    <row r="954" ht="15.75" customHeight="true">
      <c r="A954" s="33"/>
      <c r="B954" s="34" t="str">
        <f t="shared" si="1"/>
      </c>
      <c r="C954" s="35"/>
      <c r="D954" s="36"/>
      <c r="E954" s="37"/>
      <c r="F954" s="38"/>
      <c r="G954" s="39" t="str">
        <f t="shared" si="2"/>
      </c>
      <c r="H954" s="40"/>
      <c r="I954" s="41"/>
      <c r="J954" s="41"/>
      <c r="K954" s="41"/>
      <c r="L954" s="42"/>
      <c r="M954" s="43"/>
      <c r="N954" s="44"/>
      <c r="O954" s="45"/>
      <c r="P954" s="46" t="str">
        <f>IFERROR(__xludf.DUMMYFUNCTION("IF(OR(AND(C954&lt;&gt;"""", LEN(C954)&lt;3), LEN(C954)&gt;60, AND(D954&lt;&gt;"""", NOT(ISNUMBER(D954))), AND(ISNUMBER(D954), OR(D954&lt;0.01, D954&gt;999999999)), AND(COUNTA(D954:F954, H954:N954)&gt;0, C954=""""),                  
  AND(COUNTA(C954, H954:N954)&gt;0, D954=""""), LEN("&amp;"H954)&gt;50, AND(I954&lt;&gt;"""", NOT(ISNUMBER(I954))), AND(ISNUMBER(I954), OR(I954&lt;0, I954&gt;99998)), AND(L954&lt;&gt;"""", NOT(REGEXMATCH(L954&amp;"""", ""^\d{8,14}$"")))), ""Erro"", """")"),"")</f>
      </c>
    </row>
    <row r="955" ht="15.75" customHeight="true">
      <c r="A955" s="33"/>
      <c r="B955" s="34" t="str">
        <f t="shared" si="1"/>
      </c>
      <c r="C955" s="35"/>
      <c r="D955" s="36"/>
      <c r="E955" s="37"/>
      <c r="F955" s="38"/>
      <c r="G955" s="39" t="str">
        <f t="shared" si="2"/>
      </c>
      <c r="H955" s="40"/>
      <c r="I955" s="41"/>
      <c r="J955" s="41"/>
      <c r="K955" s="41"/>
      <c r="L955" s="42"/>
      <c r="M955" s="43"/>
      <c r="N955" s="44"/>
      <c r="O955" s="45"/>
      <c r="P955" s="46" t="str">
        <f>IFERROR(__xludf.DUMMYFUNCTION("IF(OR(AND(C955&lt;&gt;"""", LEN(C955)&lt;3), LEN(C955)&gt;60, AND(D955&lt;&gt;"""", NOT(ISNUMBER(D955))), AND(ISNUMBER(D955), OR(D955&lt;0.01, D955&gt;999999999)), AND(COUNTA(D955:F955, H955:N955)&gt;0, C955=""""),                  
  AND(COUNTA(C955, H955:N955)&gt;0, D955=""""), LEN("&amp;"H955)&gt;50, AND(I955&lt;&gt;"""", NOT(ISNUMBER(I955))), AND(ISNUMBER(I955), OR(I955&lt;0, I955&gt;99998)), AND(L955&lt;&gt;"""", NOT(REGEXMATCH(L955&amp;"""", ""^\d{8,14}$"")))), ""Erro"", """")"),"")</f>
      </c>
    </row>
    <row r="956" ht="15.75" customHeight="true">
      <c r="A956" s="33"/>
      <c r="B956" s="34" t="str">
        <f t="shared" si="1"/>
      </c>
      <c r="C956" s="35"/>
      <c r="D956" s="36"/>
      <c r="E956" s="37"/>
      <c r="F956" s="38"/>
      <c r="G956" s="39" t="str">
        <f t="shared" si="2"/>
      </c>
      <c r="H956" s="40"/>
      <c r="I956" s="41"/>
      <c r="J956" s="41"/>
      <c r="K956" s="41"/>
      <c r="L956" s="42"/>
      <c r="M956" s="43"/>
      <c r="N956" s="44"/>
      <c r="O956" s="45"/>
      <c r="P956" s="46" t="str">
        <f>IFERROR(__xludf.DUMMYFUNCTION("IF(OR(AND(C956&lt;&gt;"""", LEN(C956)&lt;3), LEN(C956)&gt;60, AND(D956&lt;&gt;"""", NOT(ISNUMBER(D956))), AND(ISNUMBER(D956), OR(D956&lt;0.01, D956&gt;999999999)), AND(COUNTA(D956:F956, H956:N956)&gt;0, C956=""""),                  
  AND(COUNTA(C956, H956:N956)&gt;0, D956=""""), LEN("&amp;"H956)&gt;50, AND(I956&lt;&gt;"""", NOT(ISNUMBER(I956))), AND(ISNUMBER(I956), OR(I956&lt;0, I956&gt;99998)), AND(L956&lt;&gt;"""", NOT(REGEXMATCH(L956&amp;"""", ""^\d{8,14}$"")))), ""Erro"", """")"),"")</f>
      </c>
    </row>
    <row r="957" ht="15.75" customHeight="true">
      <c r="A957" s="33"/>
      <c r="B957" s="34" t="str">
        <f t="shared" si="1"/>
      </c>
      <c r="C957" s="35"/>
      <c r="D957" s="36"/>
      <c r="E957" s="37"/>
      <c r="F957" s="38"/>
      <c r="G957" s="39" t="str">
        <f t="shared" si="2"/>
      </c>
      <c r="H957" s="40"/>
      <c r="I957" s="41"/>
      <c r="J957" s="41"/>
      <c r="K957" s="41"/>
      <c r="L957" s="42"/>
      <c r="M957" s="43"/>
      <c r="N957" s="44"/>
      <c r="O957" s="45"/>
      <c r="P957" s="46" t="str">
        <f>IFERROR(__xludf.DUMMYFUNCTION("IF(OR(AND(C957&lt;&gt;"""", LEN(C957)&lt;3), LEN(C957)&gt;60, AND(D957&lt;&gt;"""", NOT(ISNUMBER(D957))), AND(ISNUMBER(D957), OR(D957&lt;0.01, D957&gt;999999999)), AND(COUNTA(D957:F957, H957:N957)&gt;0, C957=""""),                  
  AND(COUNTA(C957, H957:N957)&gt;0, D957=""""), LEN("&amp;"H957)&gt;50, AND(I957&lt;&gt;"""", NOT(ISNUMBER(I957))), AND(ISNUMBER(I957), OR(I957&lt;0, I957&gt;99998)), AND(L957&lt;&gt;"""", NOT(REGEXMATCH(L957&amp;"""", ""^\d{8,14}$"")))), ""Erro"", """")"),"")</f>
      </c>
    </row>
    <row r="958" ht="15.75" customHeight="true">
      <c r="A958" s="33"/>
      <c r="B958" s="34" t="str">
        <f t="shared" si="1"/>
      </c>
      <c r="C958" s="35"/>
      <c r="D958" s="36"/>
      <c r="E958" s="37"/>
      <c r="F958" s="38"/>
      <c r="G958" s="39" t="str">
        <f t="shared" si="2"/>
      </c>
      <c r="H958" s="40"/>
      <c r="I958" s="41"/>
      <c r="J958" s="41"/>
      <c r="K958" s="41"/>
      <c r="L958" s="42"/>
      <c r="M958" s="43"/>
      <c r="N958" s="44"/>
      <c r="O958" s="45"/>
      <c r="P958" s="46" t="str">
        <f>IFERROR(__xludf.DUMMYFUNCTION("IF(OR(AND(C958&lt;&gt;"""", LEN(C958)&lt;3), LEN(C958)&gt;60, AND(D958&lt;&gt;"""", NOT(ISNUMBER(D958))), AND(ISNUMBER(D958), OR(D958&lt;0.01, D958&gt;999999999)), AND(COUNTA(D958:F958, H958:N958)&gt;0, C958=""""),                  
  AND(COUNTA(C958, H958:N958)&gt;0, D958=""""), LEN("&amp;"H958)&gt;50, AND(I958&lt;&gt;"""", NOT(ISNUMBER(I958))), AND(ISNUMBER(I958), OR(I958&lt;0, I958&gt;99998)), AND(L958&lt;&gt;"""", NOT(REGEXMATCH(L958&amp;"""", ""^\d{8,14}$"")))), ""Erro"", """")"),"")</f>
      </c>
    </row>
    <row r="959" ht="15.75" customHeight="true">
      <c r="A959" s="33"/>
      <c r="B959" s="34" t="str">
        <f t="shared" si="1"/>
      </c>
      <c r="C959" s="35"/>
      <c r="D959" s="36"/>
      <c r="E959" s="37"/>
      <c r="F959" s="38"/>
      <c r="G959" s="39" t="str">
        <f t="shared" si="2"/>
      </c>
      <c r="H959" s="40"/>
      <c r="I959" s="41"/>
      <c r="J959" s="41"/>
      <c r="K959" s="41"/>
      <c r="L959" s="42"/>
      <c r="M959" s="43"/>
      <c r="N959" s="44"/>
      <c r="O959" s="45"/>
      <c r="P959" s="46" t="str">
        <f>IFERROR(__xludf.DUMMYFUNCTION("IF(OR(AND(C959&lt;&gt;"""", LEN(C959)&lt;3), LEN(C959)&gt;60, AND(D959&lt;&gt;"""", NOT(ISNUMBER(D959))), AND(ISNUMBER(D959), OR(D959&lt;0.01, D959&gt;999999999)), AND(COUNTA(D959:F959, H959:N959)&gt;0, C959=""""),                  
  AND(COUNTA(C959, H959:N959)&gt;0, D959=""""), LEN("&amp;"H959)&gt;50, AND(I959&lt;&gt;"""", NOT(ISNUMBER(I959))), AND(ISNUMBER(I959), OR(I959&lt;0, I959&gt;99998)), AND(L959&lt;&gt;"""", NOT(REGEXMATCH(L959&amp;"""", ""^\d{8,14}$"")))), ""Erro"", """")"),"")</f>
      </c>
    </row>
    <row r="960" ht="15.75" customHeight="true">
      <c r="A960" s="33"/>
      <c r="B960" s="34" t="str">
        <f t="shared" si="1"/>
      </c>
      <c r="C960" s="35"/>
      <c r="D960" s="36"/>
      <c r="E960" s="37"/>
      <c r="F960" s="38"/>
      <c r="G960" s="39" t="str">
        <f t="shared" si="2"/>
      </c>
      <c r="H960" s="40"/>
      <c r="I960" s="41"/>
      <c r="J960" s="41"/>
      <c r="K960" s="41"/>
      <c r="L960" s="42"/>
      <c r="M960" s="43"/>
      <c r="N960" s="44"/>
      <c r="O960" s="45"/>
      <c r="P960" s="46" t="str">
        <f>IFERROR(__xludf.DUMMYFUNCTION("IF(OR(AND(C960&lt;&gt;"""", LEN(C960)&lt;3), LEN(C960)&gt;60, AND(D960&lt;&gt;"""", NOT(ISNUMBER(D960))), AND(ISNUMBER(D960), OR(D960&lt;0.01, D960&gt;999999999)), AND(COUNTA(D960:F960, H960:N960)&gt;0, C960=""""),                  
  AND(COUNTA(C960, H960:N960)&gt;0, D960=""""), LEN("&amp;"H960)&gt;50, AND(I960&lt;&gt;"""", NOT(ISNUMBER(I960))), AND(ISNUMBER(I960), OR(I960&lt;0, I960&gt;99998)), AND(L960&lt;&gt;"""", NOT(REGEXMATCH(L960&amp;"""", ""^\d{8,14}$"")))), ""Erro"", """")"),"")</f>
      </c>
    </row>
    <row r="961" ht="15.75" customHeight="true">
      <c r="A961" s="33"/>
      <c r="B961" s="34" t="str">
        <f t="shared" si="1"/>
      </c>
      <c r="C961" s="35"/>
      <c r="D961" s="36"/>
      <c r="E961" s="37"/>
      <c r="F961" s="38"/>
      <c r="G961" s="39" t="str">
        <f t="shared" si="2"/>
      </c>
      <c r="H961" s="40"/>
      <c r="I961" s="41"/>
      <c r="J961" s="41"/>
      <c r="K961" s="41"/>
      <c r="L961" s="42"/>
      <c r="M961" s="43"/>
      <c r="N961" s="44"/>
      <c r="O961" s="45"/>
      <c r="P961" s="46" t="str">
        <f>IFERROR(__xludf.DUMMYFUNCTION("IF(OR(AND(C961&lt;&gt;"""", LEN(C961)&lt;3), LEN(C961)&gt;60, AND(D961&lt;&gt;"""", NOT(ISNUMBER(D961))), AND(ISNUMBER(D961), OR(D961&lt;0.01, D961&gt;999999999)), AND(COUNTA(D961:F961, H961:N961)&gt;0, C961=""""),                  
  AND(COUNTA(C961, H961:N961)&gt;0, D961=""""), LEN("&amp;"H961)&gt;50, AND(I961&lt;&gt;"""", NOT(ISNUMBER(I961))), AND(ISNUMBER(I961), OR(I961&lt;0, I961&gt;99998)), AND(L961&lt;&gt;"""", NOT(REGEXMATCH(L961&amp;"""", ""^\d{8,14}$"")))), ""Erro"", """")"),"")</f>
      </c>
    </row>
    <row r="962" ht="15.75" customHeight="true">
      <c r="A962" s="33"/>
      <c r="B962" s="34" t="str">
        <f t="shared" si="1"/>
      </c>
      <c r="C962" s="35"/>
      <c r="D962" s="36"/>
      <c r="E962" s="37"/>
      <c r="F962" s="38"/>
      <c r="G962" s="39" t="str">
        <f t="shared" si="2"/>
      </c>
      <c r="H962" s="40"/>
      <c r="I962" s="41"/>
      <c r="J962" s="41"/>
      <c r="K962" s="41"/>
      <c r="L962" s="42"/>
      <c r="M962" s="43"/>
      <c r="N962" s="44"/>
      <c r="O962" s="45"/>
      <c r="P962" s="46" t="str">
        <f>IFERROR(__xludf.DUMMYFUNCTION("IF(OR(AND(C962&lt;&gt;"""", LEN(C962)&lt;3), LEN(C962)&gt;60, AND(D962&lt;&gt;"""", NOT(ISNUMBER(D962))), AND(ISNUMBER(D962), OR(D962&lt;0.01, D962&gt;999999999)), AND(COUNTA(D962:F962, H962:N962)&gt;0, C962=""""),                  
  AND(COUNTA(C962, H962:N962)&gt;0, D962=""""), LEN("&amp;"H962)&gt;50, AND(I962&lt;&gt;"""", NOT(ISNUMBER(I962))), AND(ISNUMBER(I962), OR(I962&lt;0, I962&gt;99998)), AND(L962&lt;&gt;"""", NOT(REGEXMATCH(L962&amp;"""", ""^\d{8,14}$"")))), ""Erro"", """")"),"")</f>
      </c>
    </row>
    <row r="963" ht="15.75" customHeight="true">
      <c r="A963" s="33"/>
      <c r="B963" s="34" t="str">
        <f t="shared" si="1"/>
      </c>
      <c r="C963" s="35"/>
      <c r="D963" s="36"/>
      <c r="E963" s="37"/>
      <c r="F963" s="38"/>
      <c r="G963" s="39" t="str">
        <f t="shared" si="2"/>
      </c>
      <c r="H963" s="40"/>
      <c r="I963" s="41"/>
      <c r="J963" s="41"/>
      <c r="K963" s="41"/>
      <c r="L963" s="42"/>
      <c r="M963" s="43"/>
      <c r="N963" s="44"/>
      <c r="O963" s="45"/>
      <c r="P963" s="46" t="str">
        <f>IFERROR(__xludf.DUMMYFUNCTION("IF(OR(AND(C963&lt;&gt;"""", LEN(C963)&lt;3), LEN(C963)&gt;60, AND(D963&lt;&gt;"""", NOT(ISNUMBER(D963))), AND(ISNUMBER(D963), OR(D963&lt;0.01, D963&gt;999999999)), AND(COUNTA(D963:F963, H963:N963)&gt;0, C963=""""),                  
  AND(COUNTA(C963, H963:N963)&gt;0, D963=""""), LEN("&amp;"H963)&gt;50, AND(I963&lt;&gt;"""", NOT(ISNUMBER(I963))), AND(ISNUMBER(I963), OR(I963&lt;0, I963&gt;99998)), AND(L963&lt;&gt;"""", NOT(REGEXMATCH(L963&amp;"""", ""^\d{8,14}$"")))), ""Erro"", """")"),"")</f>
      </c>
    </row>
    <row r="964" ht="15.75" customHeight="true">
      <c r="A964" s="33"/>
      <c r="B964" s="34" t="str">
        <f t="shared" si="1"/>
      </c>
      <c r="C964" s="35"/>
      <c r="D964" s="36"/>
      <c r="E964" s="37"/>
      <c r="F964" s="38"/>
      <c r="G964" s="39" t="str">
        <f t="shared" si="2"/>
      </c>
      <c r="H964" s="40"/>
      <c r="I964" s="41"/>
      <c r="J964" s="41"/>
      <c r="K964" s="41"/>
      <c r="L964" s="42"/>
      <c r="M964" s="43"/>
      <c r="N964" s="44"/>
      <c r="O964" s="45"/>
      <c r="P964" s="46" t="str">
        <f>IFERROR(__xludf.DUMMYFUNCTION("IF(OR(AND(C964&lt;&gt;"""", LEN(C964)&lt;3), LEN(C964)&gt;60, AND(D964&lt;&gt;"""", NOT(ISNUMBER(D964))), AND(ISNUMBER(D964), OR(D964&lt;0.01, D964&gt;999999999)), AND(COUNTA(D964:F964, H964:N964)&gt;0, C964=""""),                  
  AND(COUNTA(C964, H964:N964)&gt;0, D964=""""), LEN("&amp;"H964)&gt;50, AND(I964&lt;&gt;"""", NOT(ISNUMBER(I964))), AND(ISNUMBER(I964), OR(I964&lt;0, I964&gt;99998)), AND(L964&lt;&gt;"""", NOT(REGEXMATCH(L964&amp;"""", ""^\d{8,14}$"")))), ""Erro"", """")"),"")</f>
      </c>
    </row>
    <row r="965" ht="15.75" customHeight="true">
      <c r="A965" s="33"/>
      <c r="B965" s="34" t="str">
        <f t="shared" si="1"/>
      </c>
      <c r="C965" s="35"/>
      <c r="D965" s="36"/>
      <c r="E965" s="37"/>
      <c r="F965" s="38"/>
      <c r="G965" s="39" t="str">
        <f t="shared" si="2"/>
      </c>
      <c r="H965" s="40"/>
      <c r="I965" s="41"/>
      <c r="J965" s="41"/>
      <c r="K965" s="41"/>
      <c r="L965" s="42"/>
      <c r="M965" s="43"/>
      <c r="N965" s="44"/>
      <c r="O965" s="45"/>
      <c r="P965" s="46" t="str">
        <f>IFERROR(__xludf.DUMMYFUNCTION("IF(OR(AND(C965&lt;&gt;"""", LEN(C965)&lt;3), LEN(C965)&gt;60, AND(D965&lt;&gt;"""", NOT(ISNUMBER(D965))), AND(ISNUMBER(D965), OR(D965&lt;0.01, D965&gt;999999999)), AND(COUNTA(D965:F965, H965:N965)&gt;0, C965=""""),                  
  AND(COUNTA(C965, H965:N965)&gt;0, D965=""""), LEN("&amp;"H965)&gt;50, AND(I965&lt;&gt;"""", NOT(ISNUMBER(I965))), AND(ISNUMBER(I965), OR(I965&lt;0, I965&gt;99998)), AND(L965&lt;&gt;"""", NOT(REGEXMATCH(L965&amp;"""", ""^\d{8,14}$"")))), ""Erro"", """")"),"")</f>
      </c>
    </row>
    <row r="966" ht="15.75" customHeight="true">
      <c r="A966" s="33"/>
      <c r="B966" s="34" t="str">
        <f t="shared" si="1"/>
      </c>
      <c r="C966" s="35"/>
      <c r="D966" s="36"/>
      <c r="E966" s="37"/>
      <c r="F966" s="38"/>
      <c r="G966" s="39" t="str">
        <f t="shared" si="2"/>
      </c>
      <c r="H966" s="40"/>
      <c r="I966" s="41"/>
      <c r="J966" s="41"/>
      <c r="K966" s="41"/>
      <c r="L966" s="42"/>
      <c r="M966" s="43"/>
      <c r="N966" s="44"/>
      <c r="O966" s="45"/>
      <c r="P966" s="46" t="str">
        <f>IFERROR(__xludf.DUMMYFUNCTION("IF(OR(AND(C966&lt;&gt;"""", LEN(C966)&lt;3), LEN(C966)&gt;60, AND(D966&lt;&gt;"""", NOT(ISNUMBER(D966))), AND(ISNUMBER(D966), OR(D966&lt;0.01, D966&gt;999999999)), AND(COUNTA(D966:F966, H966:N966)&gt;0, C966=""""),                  
  AND(COUNTA(C966, H966:N966)&gt;0, D966=""""), LEN("&amp;"H966)&gt;50, AND(I966&lt;&gt;"""", NOT(ISNUMBER(I966))), AND(ISNUMBER(I966), OR(I966&lt;0, I966&gt;99998)), AND(L966&lt;&gt;"""", NOT(REGEXMATCH(L966&amp;"""", ""^\d{8,14}$"")))), ""Erro"", """")"),"")</f>
      </c>
    </row>
    <row r="967" ht="15.75" customHeight="true">
      <c r="A967" s="33"/>
      <c r="B967" s="34" t="str">
        <f t="shared" si="1"/>
      </c>
      <c r="C967" s="35"/>
      <c r="D967" s="36"/>
      <c r="E967" s="37"/>
      <c r="F967" s="38"/>
      <c r="G967" s="39" t="str">
        <f t="shared" si="2"/>
      </c>
      <c r="H967" s="40"/>
      <c r="I967" s="41"/>
      <c r="J967" s="41"/>
      <c r="K967" s="41"/>
      <c r="L967" s="42"/>
      <c r="M967" s="43"/>
      <c r="N967" s="44"/>
      <c r="O967" s="45"/>
      <c r="P967" s="46" t="str">
        <f>IFERROR(__xludf.DUMMYFUNCTION("IF(OR(AND(C967&lt;&gt;"""", LEN(C967)&lt;3), LEN(C967)&gt;60, AND(D967&lt;&gt;"""", NOT(ISNUMBER(D967))), AND(ISNUMBER(D967), OR(D967&lt;0.01, D967&gt;999999999)), AND(COUNTA(D967:F967, H967:N967)&gt;0, C967=""""),                  
  AND(COUNTA(C967, H967:N967)&gt;0, D967=""""), LEN("&amp;"H967)&gt;50, AND(I967&lt;&gt;"""", NOT(ISNUMBER(I967))), AND(ISNUMBER(I967), OR(I967&lt;0, I967&gt;99998)), AND(L967&lt;&gt;"""", NOT(REGEXMATCH(L967&amp;"""", ""^\d{8,14}$"")))), ""Erro"", """")"),"")</f>
      </c>
    </row>
    <row r="968" ht="15.75" customHeight="true">
      <c r="A968" s="33"/>
      <c r="B968" s="34" t="str">
        <f t="shared" si="1"/>
      </c>
      <c r="C968" s="35"/>
      <c r="D968" s="36"/>
      <c r="E968" s="37"/>
      <c r="F968" s="38"/>
      <c r="G968" s="39" t="str">
        <f t="shared" si="2"/>
      </c>
      <c r="H968" s="40"/>
      <c r="I968" s="41"/>
      <c r="J968" s="41"/>
      <c r="K968" s="41"/>
      <c r="L968" s="42"/>
      <c r="M968" s="43"/>
      <c r="N968" s="44"/>
      <c r="O968" s="45"/>
      <c r="P968" s="46" t="str">
        <f>IFERROR(__xludf.DUMMYFUNCTION("IF(OR(AND(C968&lt;&gt;"""", LEN(C968)&lt;3), LEN(C968)&gt;60, AND(D968&lt;&gt;"""", NOT(ISNUMBER(D968))), AND(ISNUMBER(D968), OR(D968&lt;0.01, D968&gt;999999999)), AND(COUNTA(D968:F968, H968:N968)&gt;0, C968=""""),                  
  AND(COUNTA(C968, H968:N968)&gt;0, D968=""""), LEN("&amp;"H968)&gt;50, AND(I968&lt;&gt;"""", NOT(ISNUMBER(I968))), AND(ISNUMBER(I968), OR(I968&lt;0, I968&gt;99998)), AND(L968&lt;&gt;"""", NOT(REGEXMATCH(L968&amp;"""", ""^\d{8,14}$"")))), ""Erro"", """")"),"")</f>
      </c>
    </row>
    <row r="969" ht="15.75" customHeight="true">
      <c r="A969" s="33"/>
      <c r="B969" s="34" t="str">
        <f t="shared" si="1"/>
      </c>
      <c r="C969" s="35"/>
      <c r="D969" s="36"/>
      <c r="E969" s="37"/>
      <c r="F969" s="38"/>
      <c r="G969" s="39" t="str">
        <f t="shared" si="2"/>
      </c>
      <c r="H969" s="40"/>
      <c r="I969" s="41"/>
      <c r="J969" s="41"/>
      <c r="K969" s="41"/>
      <c r="L969" s="42"/>
      <c r="M969" s="43"/>
      <c r="N969" s="44"/>
      <c r="O969" s="45"/>
      <c r="P969" s="46" t="str">
        <f>IFERROR(__xludf.DUMMYFUNCTION("IF(OR(AND(C969&lt;&gt;"""", LEN(C969)&lt;3), LEN(C969)&gt;60, AND(D969&lt;&gt;"""", NOT(ISNUMBER(D969))), AND(ISNUMBER(D969), OR(D969&lt;0.01, D969&gt;999999999)), AND(COUNTA(D969:F969, H969:N969)&gt;0, C969=""""),                  
  AND(COUNTA(C969, H969:N969)&gt;0, D969=""""), LEN("&amp;"H969)&gt;50, AND(I969&lt;&gt;"""", NOT(ISNUMBER(I969))), AND(ISNUMBER(I969), OR(I969&lt;0, I969&gt;99998)), AND(L969&lt;&gt;"""", NOT(REGEXMATCH(L969&amp;"""", ""^\d{8,14}$"")))), ""Erro"", """")"),"")</f>
      </c>
    </row>
    <row r="970" ht="15.75" customHeight="true">
      <c r="A970" s="33"/>
      <c r="B970" s="34" t="str">
        <f t="shared" si="1"/>
      </c>
      <c r="C970" s="35"/>
      <c r="D970" s="36"/>
      <c r="E970" s="37"/>
      <c r="F970" s="38"/>
      <c r="G970" s="39" t="str">
        <f t="shared" si="2"/>
      </c>
      <c r="H970" s="40"/>
      <c r="I970" s="41"/>
      <c r="J970" s="41"/>
      <c r="K970" s="41"/>
      <c r="L970" s="42"/>
      <c r="M970" s="43"/>
      <c r="N970" s="44"/>
      <c r="O970" s="45"/>
      <c r="P970" s="46" t="str">
        <f>IFERROR(__xludf.DUMMYFUNCTION("IF(OR(AND(C970&lt;&gt;"""", LEN(C970)&lt;3), LEN(C970)&gt;60, AND(D970&lt;&gt;"""", NOT(ISNUMBER(D970))), AND(ISNUMBER(D970), OR(D970&lt;0.01, D970&gt;999999999)), AND(COUNTA(D970:F970, H970:N970)&gt;0, C970=""""),                  
  AND(COUNTA(C970, H970:N970)&gt;0, D970=""""), LEN("&amp;"H970)&gt;50, AND(I970&lt;&gt;"""", NOT(ISNUMBER(I970))), AND(ISNUMBER(I970), OR(I970&lt;0, I970&gt;99998)), AND(L970&lt;&gt;"""", NOT(REGEXMATCH(L970&amp;"""", ""^\d{8,14}$"")))), ""Erro"", """")"),"")</f>
      </c>
    </row>
    <row r="971" ht="15.75" customHeight="true">
      <c r="A971" s="33"/>
      <c r="B971" s="34" t="str">
        <f t="shared" si="1"/>
      </c>
      <c r="C971" s="35"/>
      <c r="D971" s="36"/>
      <c r="E971" s="37"/>
      <c r="F971" s="38"/>
      <c r="G971" s="39" t="str">
        <f t="shared" si="2"/>
      </c>
      <c r="H971" s="40"/>
      <c r="I971" s="41"/>
      <c r="J971" s="41"/>
      <c r="K971" s="41"/>
      <c r="L971" s="42"/>
      <c r="M971" s="43"/>
      <c r="N971" s="44"/>
      <c r="O971" s="45"/>
      <c r="P971" s="46" t="str">
        <f>IFERROR(__xludf.DUMMYFUNCTION("IF(OR(AND(C971&lt;&gt;"""", LEN(C971)&lt;3), LEN(C971)&gt;60, AND(D971&lt;&gt;"""", NOT(ISNUMBER(D971))), AND(ISNUMBER(D971), OR(D971&lt;0.01, D971&gt;999999999)), AND(COUNTA(D971:F971, H971:N971)&gt;0, C971=""""),                  
  AND(COUNTA(C971, H971:N971)&gt;0, D971=""""), LEN("&amp;"H971)&gt;50, AND(I971&lt;&gt;"""", NOT(ISNUMBER(I971))), AND(ISNUMBER(I971), OR(I971&lt;0, I971&gt;99998)), AND(L971&lt;&gt;"""", NOT(REGEXMATCH(L971&amp;"""", ""^\d{8,14}$"")))), ""Erro"", """")"),"")</f>
      </c>
    </row>
    <row r="972" ht="15.75" customHeight="true">
      <c r="A972" s="33"/>
      <c r="B972" s="34" t="str">
        <f t="shared" si="1"/>
      </c>
      <c r="C972" s="35"/>
      <c r="D972" s="36"/>
      <c r="E972" s="37"/>
      <c r="F972" s="38"/>
      <c r="G972" s="39" t="str">
        <f t="shared" si="2"/>
      </c>
      <c r="H972" s="40"/>
      <c r="I972" s="41"/>
      <c r="J972" s="41"/>
      <c r="K972" s="41"/>
      <c r="L972" s="42"/>
      <c r="M972" s="43"/>
      <c r="N972" s="44"/>
      <c r="O972" s="45"/>
      <c r="P972" s="46" t="str">
        <f>IFERROR(__xludf.DUMMYFUNCTION("IF(OR(AND(C972&lt;&gt;"""", LEN(C972)&lt;3), LEN(C972)&gt;60, AND(D972&lt;&gt;"""", NOT(ISNUMBER(D972))), AND(ISNUMBER(D972), OR(D972&lt;0.01, D972&gt;999999999)), AND(COUNTA(D972:F972, H972:N972)&gt;0, C972=""""),                  
  AND(COUNTA(C972, H972:N972)&gt;0, D972=""""), LEN("&amp;"H972)&gt;50, AND(I972&lt;&gt;"""", NOT(ISNUMBER(I972))), AND(ISNUMBER(I972), OR(I972&lt;0, I972&gt;99998)), AND(L972&lt;&gt;"""", NOT(REGEXMATCH(L972&amp;"""", ""^\d{8,14}$"")))), ""Erro"", """")"),"")</f>
      </c>
    </row>
    <row r="973" ht="15.75" customHeight="true">
      <c r="A973" s="33"/>
      <c r="B973" s="34" t="str">
        <f t="shared" si="1"/>
      </c>
      <c r="C973" s="35"/>
      <c r="D973" s="36"/>
      <c r="E973" s="37"/>
      <c r="F973" s="38"/>
      <c r="G973" s="39" t="str">
        <f t="shared" si="2"/>
      </c>
      <c r="H973" s="40"/>
      <c r="I973" s="41"/>
      <c r="J973" s="41"/>
      <c r="K973" s="41"/>
      <c r="L973" s="42"/>
      <c r="M973" s="43"/>
      <c r="N973" s="44"/>
      <c r="O973" s="45"/>
      <c r="P973" s="46" t="str">
        <f>IFERROR(__xludf.DUMMYFUNCTION("IF(OR(AND(C973&lt;&gt;"""", LEN(C973)&lt;3), LEN(C973)&gt;60, AND(D973&lt;&gt;"""", NOT(ISNUMBER(D973))), AND(ISNUMBER(D973), OR(D973&lt;0.01, D973&gt;999999999)), AND(COUNTA(D973:F973, H973:N973)&gt;0, C973=""""),                  
  AND(COUNTA(C973, H973:N973)&gt;0, D973=""""), LEN("&amp;"H973)&gt;50, AND(I973&lt;&gt;"""", NOT(ISNUMBER(I973))), AND(ISNUMBER(I973), OR(I973&lt;0, I973&gt;99998)), AND(L973&lt;&gt;"""", NOT(REGEXMATCH(L973&amp;"""", ""^\d{8,14}$"")))), ""Erro"", """")"),"")</f>
      </c>
    </row>
    <row r="974" ht="15.75" customHeight="true">
      <c r="A974" s="33"/>
      <c r="B974" s="34" t="str">
        <f t="shared" si="1"/>
      </c>
      <c r="C974" s="35"/>
      <c r="D974" s="36"/>
      <c r="E974" s="37"/>
      <c r="F974" s="38"/>
      <c r="G974" s="39" t="str">
        <f t="shared" si="2"/>
      </c>
      <c r="H974" s="40"/>
      <c r="I974" s="41"/>
      <c r="J974" s="41"/>
      <c r="K974" s="41"/>
      <c r="L974" s="42"/>
      <c r="M974" s="43"/>
      <c r="N974" s="44"/>
      <c r="O974" s="45"/>
      <c r="P974" s="46" t="str">
        <f>IFERROR(__xludf.DUMMYFUNCTION("IF(OR(AND(C974&lt;&gt;"""", LEN(C974)&lt;3), LEN(C974)&gt;60, AND(D974&lt;&gt;"""", NOT(ISNUMBER(D974))), AND(ISNUMBER(D974), OR(D974&lt;0.01, D974&gt;999999999)), AND(COUNTA(D974:F974, H974:N974)&gt;0, C974=""""),                  
  AND(COUNTA(C974, H974:N974)&gt;0, D974=""""), LEN("&amp;"H974)&gt;50, AND(I974&lt;&gt;"""", NOT(ISNUMBER(I974))), AND(ISNUMBER(I974), OR(I974&lt;0, I974&gt;99998)), AND(L974&lt;&gt;"""", NOT(REGEXMATCH(L974&amp;"""", ""^\d{8,14}$"")))), ""Erro"", """")"),"")</f>
      </c>
    </row>
    <row r="975" ht="15.75" customHeight="true">
      <c r="A975" s="33"/>
      <c r="B975" s="34" t="str">
        <f t="shared" si="1"/>
      </c>
      <c r="C975" s="35"/>
      <c r="D975" s="36"/>
      <c r="E975" s="37"/>
      <c r="F975" s="38"/>
      <c r="G975" s="39" t="str">
        <f t="shared" si="2"/>
      </c>
      <c r="H975" s="40"/>
      <c r="I975" s="41"/>
      <c r="J975" s="41"/>
      <c r="K975" s="41"/>
      <c r="L975" s="42"/>
      <c r="M975" s="43"/>
      <c r="N975" s="44"/>
      <c r="O975" s="45"/>
      <c r="P975" s="46" t="str">
        <f>IFERROR(__xludf.DUMMYFUNCTION("IF(OR(AND(C975&lt;&gt;"""", LEN(C975)&lt;3), LEN(C975)&gt;60, AND(D975&lt;&gt;"""", NOT(ISNUMBER(D975))), AND(ISNUMBER(D975), OR(D975&lt;0.01, D975&gt;999999999)), AND(COUNTA(D975:F975, H975:N975)&gt;0, C975=""""),                  
  AND(COUNTA(C975, H975:N975)&gt;0, D975=""""), LEN("&amp;"H975)&gt;50, AND(I975&lt;&gt;"""", NOT(ISNUMBER(I975))), AND(ISNUMBER(I975), OR(I975&lt;0, I975&gt;99998)), AND(L975&lt;&gt;"""", NOT(REGEXMATCH(L975&amp;"""", ""^\d{8,14}$"")))), ""Erro"", """")"),"")</f>
      </c>
    </row>
    <row r="976" ht="15.75" customHeight="true">
      <c r="A976" s="33"/>
      <c r="B976" s="34" t="str">
        <f t="shared" si="1"/>
      </c>
      <c r="C976" s="35"/>
      <c r="D976" s="36"/>
      <c r="E976" s="37"/>
      <c r="F976" s="38"/>
      <c r="G976" s="39" t="str">
        <f t="shared" si="2"/>
      </c>
      <c r="H976" s="40"/>
      <c r="I976" s="41"/>
      <c r="J976" s="41"/>
      <c r="K976" s="41"/>
      <c r="L976" s="42"/>
      <c r="M976" s="43"/>
      <c r="N976" s="44"/>
      <c r="O976" s="45"/>
      <c r="P976" s="46" t="str">
        <f>IFERROR(__xludf.DUMMYFUNCTION("IF(OR(AND(C976&lt;&gt;"""", LEN(C976)&lt;3), LEN(C976)&gt;60, AND(D976&lt;&gt;"""", NOT(ISNUMBER(D976))), AND(ISNUMBER(D976), OR(D976&lt;0.01, D976&gt;999999999)), AND(COUNTA(D976:F976, H976:N976)&gt;0, C976=""""),                  
  AND(COUNTA(C976, H976:N976)&gt;0, D976=""""), LEN("&amp;"H976)&gt;50, AND(I976&lt;&gt;"""", NOT(ISNUMBER(I976))), AND(ISNUMBER(I976), OR(I976&lt;0, I976&gt;99998)), AND(L976&lt;&gt;"""", NOT(REGEXMATCH(L976&amp;"""", ""^\d{8,14}$"")))), ""Erro"", """")"),"")</f>
      </c>
    </row>
    <row r="977" ht="15.75" customHeight="true">
      <c r="A977" s="33"/>
      <c r="B977" s="34" t="str">
        <f t="shared" si="1"/>
      </c>
      <c r="C977" s="35"/>
      <c r="D977" s="36"/>
      <c r="E977" s="37"/>
      <c r="F977" s="38"/>
      <c r="G977" s="39" t="str">
        <f t="shared" si="2"/>
      </c>
      <c r="H977" s="40"/>
      <c r="I977" s="41"/>
      <c r="J977" s="41"/>
      <c r="K977" s="41"/>
      <c r="L977" s="42"/>
      <c r="M977" s="43"/>
      <c r="N977" s="44"/>
      <c r="O977" s="45"/>
      <c r="P977" s="46" t="str">
        <f>IFERROR(__xludf.DUMMYFUNCTION("IF(OR(AND(C977&lt;&gt;"""", LEN(C977)&lt;3), LEN(C977)&gt;60, AND(D977&lt;&gt;"""", NOT(ISNUMBER(D977))), AND(ISNUMBER(D977), OR(D977&lt;0.01, D977&gt;999999999)), AND(COUNTA(D977:F977, H977:N977)&gt;0, C977=""""),                  
  AND(COUNTA(C977, H977:N977)&gt;0, D977=""""), LEN("&amp;"H977)&gt;50, AND(I977&lt;&gt;"""", NOT(ISNUMBER(I977))), AND(ISNUMBER(I977), OR(I977&lt;0, I977&gt;99998)), AND(L977&lt;&gt;"""", NOT(REGEXMATCH(L977&amp;"""", ""^\d{8,14}$"")))), ""Erro"", """")"),"")</f>
      </c>
    </row>
    <row r="978" ht="15.75" customHeight="true">
      <c r="A978" s="33"/>
      <c r="B978" s="34" t="str">
        <f t="shared" si="1"/>
      </c>
      <c r="C978" s="35"/>
      <c r="D978" s="36"/>
      <c r="E978" s="37"/>
      <c r="F978" s="38"/>
      <c r="G978" s="39" t="str">
        <f t="shared" si="2"/>
      </c>
      <c r="H978" s="40"/>
      <c r="I978" s="41"/>
      <c r="J978" s="41"/>
      <c r="K978" s="41"/>
      <c r="L978" s="42"/>
      <c r="M978" s="43"/>
      <c r="N978" s="44"/>
      <c r="O978" s="45"/>
      <c r="P978" s="46" t="str">
        <f>IFERROR(__xludf.DUMMYFUNCTION("IF(OR(AND(C978&lt;&gt;"""", LEN(C978)&lt;3), LEN(C978)&gt;60, AND(D978&lt;&gt;"""", NOT(ISNUMBER(D978))), AND(ISNUMBER(D978), OR(D978&lt;0.01, D978&gt;999999999)), AND(COUNTA(D978:F978, H978:N978)&gt;0, C978=""""),                  
  AND(COUNTA(C978, H978:N978)&gt;0, D978=""""), LEN("&amp;"H978)&gt;50, AND(I978&lt;&gt;"""", NOT(ISNUMBER(I978))), AND(ISNUMBER(I978), OR(I978&lt;0, I978&gt;99998)), AND(L978&lt;&gt;"""", NOT(REGEXMATCH(L978&amp;"""", ""^\d{8,14}$"")))), ""Erro"", """")"),"")</f>
      </c>
    </row>
    <row r="979" ht="15.75" customHeight="true">
      <c r="A979" s="33"/>
      <c r="B979" s="34" t="str">
        <f t="shared" si="1"/>
      </c>
      <c r="C979" s="35"/>
      <c r="D979" s="36"/>
      <c r="E979" s="37"/>
      <c r="F979" s="38"/>
      <c r="G979" s="39" t="str">
        <f t="shared" si="2"/>
      </c>
      <c r="H979" s="40"/>
      <c r="I979" s="41"/>
      <c r="J979" s="41"/>
      <c r="K979" s="41"/>
      <c r="L979" s="42"/>
      <c r="M979" s="43"/>
      <c r="N979" s="44"/>
      <c r="O979" s="45"/>
      <c r="P979" s="46" t="str">
        <f>IFERROR(__xludf.DUMMYFUNCTION("IF(OR(AND(C979&lt;&gt;"""", LEN(C979)&lt;3), LEN(C979)&gt;60, AND(D979&lt;&gt;"""", NOT(ISNUMBER(D979))), AND(ISNUMBER(D979), OR(D979&lt;0.01, D979&gt;999999999)), AND(COUNTA(D979:F979, H979:N979)&gt;0, C979=""""),                  
  AND(COUNTA(C979, H979:N979)&gt;0, D979=""""), LEN("&amp;"H979)&gt;50, AND(I979&lt;&gt;"""", NOT(ISNUMBER(I979))), AND(ISNUMBER(I979), OR(I979&lt;0, I979&gt;99998)), AND(L979&lt;&gt;"""", NOT(REGEXMATCH(L979&amp;"""", ""^\d{8,14}$"")))), ""Erro"", """")"),"")</f>
      </c>
    </row>
    <row r="980" ht="15.75" customHeight="true">
      <c r="A980" s="33"/>
      <c r="B980" s="34" t="str">
        <f t="shared" si="1"/>
      </c>
      <c r="C980" s="35"/>
      <c r="D980" s="36"/>
      <c r="E980" s="37"/>
      <c r="F980" s="38"/>
      <c r="G980" s="39" t="str">
        <f t="shared" si="2"/>
      </c>
      <c r="H980" s="40"/>
      <c r="I980" s="41"/>
      <c r="J980" s="41"/>
      <c r="K980" s="41"/>
      <c r="L980" s="42"/>
      <c r="M980" s="43"/>
      <c r="N980" s="44"/>
      <c r="O980" s="45"/>
      <c r="P980" s="46" t="str">
        <f>IFERROR(__xludf.DUMMYFUNCTION("IF(OR(AND(C980&lt;&gt;"""", LEN(C980)&lt;3), LEN(C980)&gt;60, AND(D980&lt;&gt;"""", NOT(ISNUMBER(D980))), AND(ISNUMBER(D980), OR(D980&lt;0.01, D980&gt;999999999)), AND(COUNTA(D980:F980, H980:N980)&gt;0, C980=""""),                  
  AND(COUNTA(C980, H980:N980)&gt;0, D980=""""), LEN("&amp;"H980)&gt;50, AND(I980&lt;&gt;"""", NOT(ISNUMBER(I980))), AND(ISNUMBER(I980), OR(I980&lt;0, I980&gt;99998)), AND(L980&lt;&gt;"""", NOT(REGEXMATCH(L980&amp;"""", ""^\d{8,14}$"")))), ""Erro"", """")"),"")</f>
      </c>
    </row>
    <row r="981" ht="15.75" customHeight="true">
      <c r="A981" s="33"/>
      <c r="B981" s="34" t="str">
        <f t="shared" si="1"/>
      </c>
      <c r="C981" s="35"/>
      <c r="D981" s="36"/>
      <c r="E981" s="37"/>
      <c r="F981" s="38"/>
      <c r="G981" s="39" t="str">
        <f t="shared" si="2"/>
      </c>
      <c r="H981" s="40"/>
      <c r="I981" s="41"/>
      <c r="J981" s="41"/>
      <c r="K981" s="41"/>
      <c r="L981" s="42"/>
      <c r="M981" s="43"/>
      <c r="N981" s="44"/>
      <c r="O981" s="45"/>
      <c r="P981" s="46" t="str">
        <f>IFERROR(__xludf.DUMMYFUNCTION("IF(OR(AND(C981&lt;&gt;"""", LEN(C981)&lt;3), LEN(C981)&gt;60, AND(D981&lt;&gt;"""", NOT(ISNUMBER(D981))), AND(ISNUMBER(D981), OR(D981&lt;0.01, D981&gt;999999999)), AND(COUNTA(D981:F981, H981:N981)&gt;0, C981=""""),                  
  AND(COUNTA(C981, H981:N981)&gt;0, D981=""""), LEN("&amp;"H981)&gt;50, AND(I981&lt;&gt;"""", NOT(ISNUMBER(I981))), AND(ISNUMBER(I981), OR(I981&lt;0, I981&gt;99998)), AND(L981&lt;&gt;"""", NOT(REGEXMATCH(L981&amp;"""", ""^\d{8,14}$"")))), ""Erro"", """")"),"")</f>
      </c>
    </row>
    <row r="982" ht="15.75" customHeight="true">
      <c r="A982" s="33"/>
      <c r="B982" s="34" t="str">
        <f t="shared" si="1"/>
      </c>
      <c r="C982" s="35"/>
      <c r="D982" s="36"/>
      <c r="E982" s="37"/>
      <c r="F982" s="38"/>
      <c r="G982" s="39" t="str">
        <f t="shared" si="2"/>
      </c>
      <c r="H982" s="40"/>
      <c r="I982" s="41"/>
      <c r="J982" s="41"/>
      <c r="K982" s="41"/>
      <c r="L982" s="42"/>
      <c r="M982" s="43"/>
      <c r="N982" s="44"/>
      <c r="O982" s="45"/>
      <c r="P982" s="46" t="str">
        <f>IFERROR(__xludf.DUMMYFUNCTION("IF(OR(AND(C982&lt;&gt;"""", LEN(C982)&lt;3), LEN(C982)&gt;60, AND(D982&lt;&gt;"""", NOT(ISNUMBER(D982))), AND(ISNUMBER(D982), OR(D982&lt;0.01, D982&gt;999999999)), AND(COUNTA(D982:F982, H982:N982)&gt;0, C982=""""),                  
  AND(COUNTA(C982, H982:N982)&gt;0, D982=""""), LEN("&amp;"H982)&gt;50, AND(I982&lt;&gt;"""", NOT(ISNUMBER(I982))), AND(ISNUMBER(I982), OR(I982&lt;0, I982&gt;99998)), AND(L982&lt;&gt;"""", NOT(REGEXMATCH(L982&amp;"""", ""^\d{8,14}$"")))), ""Erro"", """")"),"")</f>
      </c>
    </row>
    <row r="983" ht="15.75" customHeight="true">
      <c r="A983" s="33"/>
      <c r="B983" s="34" t="str">
        <f t="shared" si="1"/>
      </c>
      <c r="C983" s="35"/>
      <c r="D983" s="36"/>
      <c r="E983" s="37"/>
      <c r="F983" s="38"/>
      <c r="G983" s="39" t="str">
        <f t="shared" si="2"/>
      </c>
      <c r="H983" s="40"/>
      <c r="I983" s="41"/>
      <c r="J983" s="41"/>
      <c r="K983" s="41"/>
      <c r="L983" s="42"/>
      <c r="M983" s="43"/>
      <c r="N983" s="44"/>
      <c r="O983" s="45"/>
      <c r="P983" s="46" t="str">
        <f>IFERROR(__xludf.DUMMYFUNCTION("IF(OR(AND(C983&lt;&gt;"""", LEN(C983)&lt;3), LEN(C983)&gt;60, AND(D983&lt;&gt;"""", NOT(ISNUMBER(D983))), AND(ISNUMBER(D983), OR(D983&lt;0.01, D983&gt;999999999)), AND(COUNTA(D983:F983, H983:N983)&gt;0, C983=""""),                  
  AND(COUNTA(C983, H983:N983)&gt;0, D983=""""), LEN("&amp;"H983)&gt;50, AND(I983&lt;&gt;"""", NOT(ISNUMBER(I983))), AND(ISNUMBER(I983), OR(I983&lt;0, I983&gt;99998)), AND(L983&lt;&gt;"""", NOT(REGEXMATCH(L983&amp;"""", ""^\d{8,14}$"")))), ""Erro"", """")"),"")</f>
      </c>
    </row>
    <row r="984" ht="15.75" customHeight="true">
      <c r="A984" s="33"/>
      <c r="B984" s="34" t="str">
        <f t="shared" si="1"/>
      </c>
      <c r="C984" s="35"/>
      <c r="D984" s="36"/>
      <c r="E984" s="37"/>
      <c r="F984" s="38"/>
      <c r="G984" s="39" t="str">
        <f t="shared" si="2"/>
      </c>
      <c r="H984" s="40"/>
      <c r="I984" s="41"/>
      <c r="J984" s="41"/>
      <c r="K984" s="41"/>
      <c r="L984" s="42"/>
      <c r="M984" s="43"/>
      <c r="N984" s="44"/>
      <c r="O984" s="45"/>
      <c r="P984" s="46" t="str">
        <f>IFERROR(__xludf.DUMMYFUNCTION("IF(OR(AND(C984&lt;&gt;"""", LEN(C984)&lt;3), LEN(C984)&gt;60, AND(D984&lt;&gt;"""", NOT(ISNUMBER(D984))), AND(ISNUMBER(D984), OR(D984&lt;0.01, D984&gt;999999999)), AND(COUNTA(D984:F984, H984:N984)&gt;0, C984=""""),                  
  AND(COUNTA(C984, H984:N984)&gt;0, D984=""""), LEN("&amp;"H984)&gt;50, AND(I984&lt;&gt;"""", NOT(ISNUMBER(I984))), AND(ISNUMBER(I984), OR(I984&lt;0, I984&gt;99998)), AND(L984&lt;&gt;"""", NOT(REGEXMATCH(L984&amp;"""", ""^\d{8,14}$"")))), ""Erro"", """")"),"")</f>
      </c>
    </row>
    <row r="985" ht="15.75" customHeight="true">
      <c r="A985" s="33"/>
      <c r="B985" s="34" t="str">
        <f t="shared" si="1"/>
      </c>
      <c r="C985" s="35"/>
      <c r="D985" s="36"/>
      <c r="E985" s="37"/>
      <c r="F985" s="38"/>
      <c r="G985" s="39" t="str">
        <f t="shared" si="2"/>
      </c>
      <c r="H985" s="40"/>
      <c r="I985" s="41"/>
      <c r="J985" s="41"/>
      <c r="K985" s="41"/>
      <c r="L985" s="42"/>
      <c r="M985" s="43"/>
      <c r="N985" s="44"/>
      <c r="O985" s="45"/>
      <c r="P985" s="46" t="str">
        <f>IFERROR(__xludf.DUMMYFUNCTION("IF(OR(AND(C985&lt;&gt;"""", LEN(C985)&lt;3), LEN(C985)&gt;60, AND(D985&lt;&gt;"""", NOT(ISNUMBER(D985))), AND(ISNUMBER(D985), OR(D985&lt;0.01, D985&gt;999999999)), AND(COUNTA(D985:F985, H985:N985)&gt;0, C985=""""),                  
  AND(COUNTA(C985, H985:N985)&gt;0, D985=""""), LEN("&amp;"H985)&gt;50, AND(I985&lt;&gt;"""", NOT(ISNUMBER(I985))), AND(ISNUMBER(I985), OR(I985&lt;0, I985&gt;99998)), AND(L985&lt;&gt;"""", NOT(REGEXMATCH(L985&amp;"""", ""^\d{8,14}$"")))), ""Erro"", """")"),"")</f>
      </c>
    </row>
    <row r="986" ht="15.75" customHeight="true">
      <c r="A986" s="33"/>
      <c r="B986" s="34" t="str">
        <f t="shared" si="1"/>
      </c>
      <c r="C986" s="35"/>
      <c r="D986" s="36"/>
      <c r="E986" s="37"/>
      <c r="F986" s="38"/>
      <c r="G986" s="39" t="str">
        <f t="shared" si="2"/>
      </c>
      <c r="H986" s="40"/>
      <c r="I986" s="41"/>
      <c r="J986" s="41"/>
      <c r="K986" s="41"/>
      <c r="L986" s="42"/>
      <c r="M986" s="43"/>
      <c r="N986" s="44"/>
      <c r="O986" s="45"/>
      <c r="P986" s="46" t="str">
        <f>IFERROR(__xludf.DUMMYFUNCTION("IF(OR(AND(C986&lt;&gt;"""", LEN(C986)&lt;3), LEN(C986)&gt;60, AND(D986&lt;&gt;"""", NOT(ISNUMBER(D986))), AND(ISNUMBER(D986), OR(D986&lt;0.01, D986&gt;999999999)), AND(COUNTA(D986:F986, H986:N986)&gt;0, C986=""""),                  
  AND(COUNTA(C986, H986:N986)&gt;0, D986=""""), LEN("&amp;"H986)&gt;50, AND(I986&lt;&gt;"""", NOT(ISNUMBER(I986))), AND(ISNUMBER(I986), OR(I986&lt;0, I986&gt;99998)), AND(L986&lt;&gt;"""", NOT(REGEXMATCH(L986&amp;"""", ""^\d{8,14}$"")))), ""Erro"", """")"),"")</f>
      </c>
    </row>
    <row r="987" ht="15.75" customHeight="true">
      <c r="A987" s="33"/>
      <c r="B987" s="34" t="str">
        <f t="shared" si="1"/>
      </c>
      <c r="C987" s="35"/>
      <c r="D987" s="36"/>
      <c r="E987" s="37"/>
      <c r="F987" s="38"/>
      <c r="G987" s="39" t="str">
        <f t="shared" si="2"/>
      </c>
      <c r="H987" s="40"/>
      <c r="I987" s="41"/>
      <c r="J987" s="41"/>
      <c r="K987" s="41"/>
      <c r="L987" s="42"/>
      <c r="M987" s="43"/>
      <c r="N987" s="44"/>
      <c r="O987" s="45"/>
      <c r="P987" s="46" t="str">
        <f>IFERROR(__xludf.DUMMYFUNCTION("IF(OR(AND(C987&lt;&gt;"""", LEN(C987)&lt;3), LEN(C987)&gt;60, AND(D987&lt;&gt;"""", NOT(ISNUMBER(D987))), AND(ISNUMBER(D987), OR(D987&lt;0.01, D987&gt;999999999)), AND(COUNTA(D987:F987, H987:N987)&gt;0, C987=""""),                  
  AND(COUNTA(C987, H987:N987)&gt;0, D987=""""), LEN("&amp;"H987)&gt;50, AND(I987&lt;&gt;"""", NOT(ISNUMBER(I987))), AND(ISNUMBER(I987), OR(I987&lt;0, I987&gt;99998)), AND(L987&lt;&gt;"""", NOT(REGEXMATCH(L987&amp;"""", ""^\d{8,14}$"")))), ""Erro"", """")"),"")</f>
      </c>
    </row>
    <row r="988" ht="15.75" customHeight="true">
      <c r="A988" s="33"/>
      <c r="B988" s="34" t="str">
        <f t="shared" si="1"/>
      </c>
      <c r="C988" s="35"/>
      <c r="D988" s="36"/>
      <c r="E988" s="37"/>
      <c r="F988" s="38"/>
      <c r="G988" s="39" t="str">
        <f t="shared" si="2"/>
      </c>
      <c r="H988" s="40"/>
      <c r="I988" s="41"/>
      <c r="J988" s="41"/>
      <c r="K988" s="41"/>
      <c r="L988" s="42"/>
      <c r="M988" s="43"/>
      <c r="N988" s="44"/>
      <c r="O988" s="45"/>
      <c r="P988" s="46" t="str">
        <f>IFERROR(__xludf.DUMMYFUNCTION("IF(OR(AND(C988&lt;&gt;"""", LEN(C988)&lt;3), LEN(C988)&gt;60, AND(D988&lt;&gt;"""", NOT(ISNUMBER(D988))), AND(ISNUMBER(D988), OR(D988&lt;0.01, D988&gt;999999999)), AND(COUNTA(D988:F988, H988:N988)&gt;0, C988=""""),                  
  AND(COUNTA(C988, H988:N988)&gt;0, D988=""""), LEN("&amp;"H988)&gt;50, AND(I988&lt;&gt;"""", NOT(ISNUMBER(I988))), AND(ISNUMBER(I988), OR(I988&lt;0, I988&gt;99998)), AND(L988&lt;&gt;"""", NOT(REGEXMATCH(L988&amp;"""", ""^\d{8,14}$"")))), ""Erro"", """")"),"")</f>
      </c>
    </row>
    <row r="989" ht="15.75" customHeight="true">
      <c r="A989" s="33"/>
      <c r="B989" s="34" t="str">
        <f t="shared" si="1"/>
      </c>
      <c r="C989" s="35"/>
      <c r="D989" s="36"/>
      <c r="E989" s="37"/>
      <c r="F989" s="38"/>
      <c r="G989" s="39" t="str">
        <f t="shared" si="2"/>
      </c>
      <c r="H989" s="40"/>
      <c r="I989" s="41"/>
      <c r="J989" s="41"/>
      <c r="K989" s="41"/>
      <c r="L989" s="42"/>
      <c r="M989" s="43"/>
      <c r="N989" s="44"/>
      <c r="O989" s="45"/>
      <c r="P989" s="46" t="str">
        <f>IFERROR(__xludf.DUMMYFUNCTION("IF(OR(AND(C989&lt;&gt;"""", LEN(C989)&lt;3), LEN(C989)&gt;60, AND(D989&lt;&gt;"""", NOT(ISNUMBER(D989))), AND(ISNUMBER(D989), OR(D989&lt;0.01, D989&gt;999999999)), AND(COUNTA(D989:F989, H989:N989)&gt;0, C989=""""),                  
  AND(COUNTA(C989, H989:N989)&gt;0, D989=""""), LEN("&amp;"H989)&gt;50, AND(I989&lt;&gt;"""", NOT(ISNUMBER(I989))), AND(ISNUMBER(I989), OR(I989&lt;0, I989&gt;99998)), AND(L989&lt;&gt;"""", NOT(REGEXMATCH(L989&amp;"""", ""^\d{8,14}$"")))), ""Erro"", """")"),"")</f>
      </c>
    </row>
    <row r="990" ht="15.75" customHeight="true">
      <c r="A990" s="33"/>
      <c r="B990" s="34" t="str">
        <f t="shared" si="1"/>
      </c>
      <c r="C990" s="35"/>
      <c r="D990" s="36"/>
      <c r="E990" s="37"/>
      <c r="F990" s="38"/>
      <c r="G990" s="39" t="str">
        <f t="shared" si="2"/>
      </c>
      <c r="H990" s="40"/>
      <c r="I990" s="41"/>
      <c r="J990" s="41"/>
      <c r="K990" s="41"/>
      <c r="L990" s="42"/>
      <c r="M990" s="43"/>
      <c r="N990" s="44"/>
      <c r="O990" s="45"/>
      <c r="P990" s="46" t="str">
        <f>IFERROR(__xludf.DUMMYFUNCTION("IF(OR(AND(C990&lt;&gt;"""", LEN(C990)&lt;3), LEN(C990)&gt;60, AND(D990&lt;&gt;"""", NOT(ISNUMBER(D990))), AND(ISNUMBER(D990), OR(D990&lt;0.01, D990&gt;999999999)), AND(COUNTA(D990:F990, H990:N990)&gt;0, C990=""""),                  
  AND(COUNTA(C990, H990:N990)&gt;0, D990=""""), LEN("&amp;"H990)&gt;50, AND(I990&lt;&gt;"""", NOT(ISNUMBER(I990))), AND(ISNUMBER(I990), OR(I990&lt;0, I990&gt;99998)), AND(L990&lt;&gt;"""", NOT(REGEXMATCH(L990&amp;"""", ""^\d{8,14}$"")))), ""Erro"", """")"),"")</f>
      </c>
    </row>
    <row r="991" ht="15.75" customHeight="true">
      <c r="A991" s="33"/>
      <c r="B991" s="34" t="str">
        <f t="shared" si="1"/>
      </c>
      <c r="C991" s="35"/>
      <c r="D991" s="36"/>
      <c r="E991" s="37"/>
      <c r="F991" s="38"/>
      <c r="G991" s="39" t="str">
        <f t="shared" si="2"/>
      </c>
      <c r="H991" s="40"/>
      <c r="I991" s="41"/>
      <c r="J991" s="41"/>
      <c r="K991" s="41"/>
      <c r="L991" s="42"/>
      <c r="M991" s="43"/>
      <c r="N991" s="44"/>
      <c r="O991" s="45"/>
      <c r="P991" s="46" t="str">
        <f>IFERROR(__xludf.DUMMYFUNCTION("IF(OR(AND(C991&lt;&gt;"""", LEN(C991)&lt;3), LEN(C991)&gt;60, AND(D991&lt;&gt;"""", NOT(ISNUMBER(D991))), AND(ISNUMBER(D991), OR(D991&lt;0.01, D991&gt;999999999)), AND(COUNTA(D991:F991, H991:N991)&gt;0, C991=""""),                  
  AND(COUNTA(C991, H991:N991)&gt;0, D991=""""), LEN("&amp;"H991)&gt;50, AND(I991&lt;&gt;"""", NOT(ISNUMBER(I991))), AND(ISNUMBER(I991), OR(I991&lt;0, I991&gt;99998)), AND(L991&lt;&gt;"""", NOT(REGEXMATCH(L991&amp;"""", ""^\d{8,14}$"")))), ""Erro"", """")"),"")</f>
      </c>
    </row>
    <row r="992" ht="15.75" customHeight="true">
      <c r="A992" s="33"/>
      <c r="B992" s="34" t="str">
        <f t="shared" si="1"/>
      </c>
      <c r="C992" s="35"/>
      <c r="D992" s="36"/>
      <c r="E992" s="37"/>
      <c r="F992" s="38"/>
      <c r="G992" s="39" t="str">
        <f t="shared" si="2"/>
      </c>
      <c r="H992" s="40"/>
      <c r="I992" s="41"/>
      <c r="J992" s="41"/>
      <c r="K992" s="41"/>
      <c r="L992" s="42"/>
      <c r="M992" s="43"/>
      <c r="N992" s="44"/>
      <c r="O992" s="45"/>
      <c r="P992" s="46" t="str">
        <f>IFERROR(__xludf.DUMMYFUNCTION("IF(OR(AND(C992&lt;&gt;"""", LEN(C992)&lt;3), LEN(C992)&gt;60, AND(D992&lt;&gt;"""", NOT(ISNUMBER(D992))), AND(ISNUMBER(D992), OR(D992&lt;0.01, D992&gt;999999999)), AND(COUNTA(D992:F992, H992:N992)&gt;0, C992=""""),                  
  AND(COUNTA(C992, H992:N992)&gt;0, D992=""""), LEN("&amp;"H992)&gt;50, AND(I992&lt;&gt;"""", NOT(ISNUMBER(I992))), AND(ISNUMBER(I992), OR(I992&lt;0, I992&gt;99998)), AND(L992&lt;&gt;"""", NOT(REGEXMATCH(L992&amp;"""", ""^\d{8,14}$"")))), ""Erro"", """")"),"")</f>
      </c>
    </row>
    <row r="993" ht="15.75" customHeight="true">
      <c r="A993" s="33"/>
      <c r="B993" s="34" t="str">
        <f t="shared" si="1"/>
      </c>
      <c r="C993" s="35"/>
      <c r="D993" s="36"/>
      <c r="E993" s="37"/>
      <c r="F993" s="38"/>
      <c r="G993" s="39" t="str">
        <f t="shared" si="2"/>
      </c>
      <c r="H993" s="40"/>
      <c r="I993" s="41"/>
      <c r="J993" s="41"/>
      <c r="K993" s="41"/>
      <c r="L993" s="42"/>
      <c r="M993" s="43"/>
      <c r="N993" s="44"/>
      <c r="O993" s="45"/>
      <c r="P993" s="46" t="str">
        <f>IFERROR(__xludf.DUMMYFUNCTION("IF(OR(AND(C993&lt;&gt;"""", LEN(C993)&lt;3), LEN(C993)&gt;60, AND(D993&lt;&gt;"""", NOT(ISNUMBER(D993))), AND(ISNUMBER(D993), OR(D993&lt;0.01, D993&gt;999999999)), AND(COUNTA(D993:F993, H993:N993)&gt;0, C993=""""),                  
  AND(COUNTA(C993, H993:N993)&gt;0, D993=""""), LEN("&amp;"H993)&gt;50, AND(I993&lt;&gt;"""", NOT(ISNUMBER(I993))), AND(ISNUMBER(I993), OR(I993&lt;0, I993&gt;99998)), AND(L993&lt;&gt;"""", NOT(REGEXMATCH(L993&amp;"""", ""^\d{8,14}$"")))), ""Erro"", """")"),"")</f>
      </c>
    </row>
    <row r="994" ht="15.75" customHeight="true">
      <c r="A994" s="33"/>
      <c r="B994" s="34" t="str">
        <f t="shared" si="1"/>
      </c>
      <c r="C994" s="35"/>
      <c r="D994" s="36"/>
      <c r="E994" s="37"/>
      <c r="F994" s="38"/>
      <c r="G994" s="39" t="str">
        <f t="shared" si="2"/>
      </c>
      <c r="H994" s="40"/>
      <c r="I994" s="41"/>
      <c r="J994" s="41"/>
      <c r="K994" s="41"/>
      <c r="L994" s="42"/>
      <c r="M994" s="43"/>
      <c r="N994" s="44"/>
      <c r="O994" s="45"/>
      <c r="P994" s="46" t="str">
        <f>IFERROR(__xludf.DUMMYFUNCTION("IF(OR(AND(C994&lt;&gt;"""", LEN(C994)&lt;3), LEN(C994)&gt;60, AND(D994&lt;&gt;"""", NOT(ISNUMBER(D994))), AND(ISNUMBER(D994), OR(D994&lt;0.01, D994&gt;999999999)), AND(COUNTA(D994:F994, H994:N994)&gt;0, C994=""""),                  
  AND(COUNTA(C994, H994:N994)&gt;0, D994=""""), LEN("&amp;"H994)&gt;50, AND(I994&lt;&gt;"""", NOT(ISNUMBER(I994))), AND(ISNUMBER(I994), OR(I994&lt;0, I994&gt;99998)), AND(L994&lt;&gt;"""", NOT(REGEXMATCH(L994&amp;"""", ""^\d{8,14}$"")))), ""Erro"", """")"),"")</f>
      </c>
    </row>
    <row r="995" ht="15.75" customHeight="true">
      <c r="A995" s="33"/>
      <c r="B995" s="34" t="str">
        <f t="shared" si="1"/>
      </c>
      <c r="C995" s="35"/>
      <c r="D995" s="36"/>
      <c r="E995" s="37"/>
      <c r="F995" s="38"/>
      <c r="G995" s="39" t="str">
        <f t="shared" si="2"/>
      </c>
      <c r="H995" s="40"/>
      <c r="I995" s="41"/>
      <c r="J995" s="41"/>
      <c r="K995" s="41"/>
      <c r="L995" s="42"/>
      <c r="M995" s="43"/>
      <c r="N995" s="44"/>
      <c r="O995" s="45"/>
      <c r="P995" s="46" t="str">
        <f>IFERROR(__xludf.DUMMYFUNCTION("IF(OR(AND(C995&lt;&gt;"""", LEN(C995)&lt;3), LEN(C995)&gt;60, AND(D995&lt;&gt;"""", NOT(ISNUMBER(D995))), AND(ISNUMBER(D995), OR(D995&lt;0.01, D995&gt;999999999)), AND(COUNTA(D995:F995, H995:N995)&gt;0, C995=""""),                  
  AND(COUNTA(C995, H995:N995)&gt;0, D995=""""), LEN("&amp;"H995)&gt;50, AND(I995&lt;&gt;"""", NOT(ISNUMBER(I995))), AND(ISNUMBER(I995), OR(I995&lt;0, I995&gt;99998)), AND(L995&lt;&gt;"""", NOT(REGEXMATCH(L995&amp;"""", ""^\d{8,14}$"")))), ""Erro"", """")"),"")</f>
      </c>
    </row>
    <row r="996" ht="15.75" customHeight="true">
      <c r="A996" s="33"/>
      <c r="B996" s="34" t="str">
        <f t="shared" si="1"/>
      </c>
      <c r="C996" s="35"/>
      <c r="D996" s="36"/>
      <c r="E996" s="37"/>
      <c r="F996" s="38"/>
      <c r="G996" s="39" t="str">
        <f t="shared" si="2"/>
      </c>
      <c r="H996" s="40"/>
      <c r="I996" s="41"/>
      <c r="J996" s="41"/>
      <c r="K996" s="41"/>
      <c r="L996" s="42"/>
      <c r="M996" s="43"/>
      <c r="N996" s="44"/>
      <c r="O996" s="45"/>
      <c r="P996" s="46" t="str">
        <f>IFERROR(__xludf.DUMMYFUNCTION("IF(OR(AND(C996&lt;&gt;"""", LEN(C996)&lt;3), LEN(C996)&gt;60, AND(D996&lt;&gt;"""", NOT(ISNUMBER(D996))), AND(ISNUMBER(D996), OR(D996&lt;0.01, D996&gt;999999999)), AND(COUNTA(D996:F996, H996:N996)&gt;0, C996=""""),                  
  AND(COUNTA(C996, H996:N996)&gt;0, D996=""""), LEN("&amp;"H996)&gt;50, AND(I996&lt;&gt;"""", NOT(ISNUMBER(I996))), AND(ISNUMBER(I996), OR(I996&lt;0, I996&gt;99998)), AND(L996&lt;&gt;"""", NOT(REGEXMATCH(L996&amp;"""", ""^\d{8,14}$"")))), ""Erro"", """")"),"")</f>
      </c>
    </row>
    <row r="997" ht="15.75" customHeight="true">
      <c r="A997" s="33"/>
      <c r="B997" s="34" t="str">
        <f t="shared" si="1"/>
      </c>
      <c r="C997" s="35"/>
      <c r="D997" s="36"/>
      <c r="E997" s="37"/>
      <c r="F997" s="38"/>
      <c r="G997" s="39" t="str">
        <f t="shared" si="2"/>
      </c>
      <c r="H997" s="40"/>
      <c r="I997" s="41"/>
      <c r="J997" s="41"/>
      <c r="K997" s="41"/>
      <c r="L997" s="42"/>
      <c r="M997" s="43"/>
      <c r="N997" s="44"/>
      <c r="O997" s="45"/>
      <c r="P997" s="46" t="str">
        <f>IFERROR(__xludf.DUMMYFUNCTION("IF(OR(AND(C997&lt;&gt;"""", LEN(C997)&lt;3), LEN(C997)&gt;60, AND(D997&lt;&gt;"""", NOT(ISNUMBER(D997))), AND(ISNUMBER(D997), OR(D997&lt;0.01, D997&gt;999999999)), AND(COUNTA(D997:F997, H997:N997)&gt;0, C997=""""),                  
  AND(COUNTA(C997, H997:N997)&gt;0, D997=""""), LEN("&amp;"H997)&gt;50, AND(I997&lt;&gt;"""", NOT(ISNUMBER(I997))), AND(ISNUMBER(I997), OR(I997&lt;0, I997&gt;99998)), AND(L997&lt;&gt;"""", NOT(REGEXMATCH(L997&amp;"""", ""^\d{8,14}$"")))), ""Erro"", """")"),"")</f>
      </c>
    </row>
    <row r="998" ht="15.75" customHeight="true">
      <c r="A998" s="33"/>
      <c r="B998" s="34" t="str">
        <f t="shared" si="1"/>
      </c>
      <c r="C998" s="35"/>
      <c r="D998" s="36"/>
      <c r="E998" s="37"/>
      <c r="F998" s="38"/>
      <c r="G998" s="39" t="str">
        <f t="shared" si="2"/>
      </c>
      <c r="H998" s="40"/>
      <c r="I998" s="41"/>
      <c r="J998" s="41"/>
      <c r="K998" s="41"/>
      <c r="L998" s="42"/>
      <c r="M998" s="43"/>
      <c r="N998" s="44"/>
      <c r="O998" s="45"/>
      <c r="P998" s="46" t="str">
        <f>IFERROR(__xludf.DUMMYFUNCTION("IF(OR(AND(C998&lt;&gt;"""", LEN(C998)&lt;3), LEN(C998)&gt;60, AND(D998&lt;&gt;"""", NOT(ISNUMBER(D998))), AND(ISNUMBER(D998), OR(D998&lt;0.01, D998&gt;999999999)), AND(COUNTA(D998:F998, H998:N998)&gt;0, C998=""""),                  
  AND(COUNTA(C998, H998:N998)&gt;0, D998=""""), LEN("&amp;"H998)&gt;50, AND(I998&lt;&gt;"""", NOT(ISNUMBER(I998))), AND(ISNUMBER(I998), OR(I998&lt;0, I998&gt;99998)), AND(L998&lt;&gt;"""", NOT(REGEXMATCH(L998&amp;"""", ""^\d{8,14}$"")))), ""Erro"", """")"),"")</f>
      </c>
    </row>
    <row r="999" ht="15.75" customHeight="true">
      <c r="A999" s="33"/>
      <c r="B999" s="34" t="str">
        <f t="shared" si="1"/>
      </c>
      <c r="C999" s="35"/>
      <c r="D999" s="36"/>
      <c r="E999" s="37"/>
      <c r="F999" s="38"/>
      <c r="G999" s="39" t="str">
        <f t="shared" si="2"/>
      </c>
      <c r="H999" s="40"/>
      <c r="I999" s="41"/>
      <c r="J999" s="41"/>
      <c r="K999" s="41"/>
      <c r="L999" s="42"/>
      <c r="M999" s="43"/>
      <c r="N999" s="44"/>
      <c r="O999" s="45"/>
      <c r="P999" s="46" t="str">
        <f>IFERROR(__xludf.DUMMYFUNCTION("IF(OR(AND(C999&lt;&gt;"""", LEN(C999)&lt;3), LEN(C999)&gt;60, AND(D999&lt;&gt;"""", NOT(ISNUMBER(D999))), AND(ISNUMBER(D999), OR(D999&lt;0.01, D999&gt;999999999)), AND(COUNTA(D999:F999, H999:N999)&gt;0, C999=""""),                  
  AND(COUNTA(C999, H999:N999)&gt;0, D999=""""), LEN("&amp;"H999)&gt;50, AND(I999&lt;&gt;"""", NOT(ISNUMBER(I999))), AND(ISNUMBER(I999), OR(I999&lt;0, I999&gt;99998)), AND(L999&lt;&gt;"""", NOT(REGEXMATCH(L999&amp;"""", ""^\d{8,14}$"")))), ""Erro"", """")"),"")</f>
      </c>
    </row>
    <row r="1000" ht="15.75" customHeight="true">
      <c r="A1000" s="33"/>
      <c r="B1000" s="34" t="str">
        <f t="shared" si="1"/>
      </c>
      <c r="C1000" s="35"/>
      <c r="D1000" s="36"/>
      <c r="E1000" s="37"/>
      <c r="F1000" s="38"/>
      <c r="G1000" s="39" t="str">
        <f t="shared" si="2"/>
      </c>
      <c r="H1000" s="40"/>
      <c r="I1000" s="41"/>
      <c r="J1000" s="41"/>
      <c r="K1000" s="41"/>
      <c r="L1000" s="42"/>
      <c r="M1000" s="43"/>
      <c r="N1000" s="44"/>
      <c r="O1000" s="45"/>
      <c r="P1000" s="46" t="str">
        <f>IFERROR(__xludf.DUMMYFUNCTION("IF(OR(AND(C1000&lt;&gt;"""", LEN(C1000)&lt;3), LEN(C1000)&gt;60, AND(D1000&lt;&gt;"""", NOT(ISNUMBER(D1000))), AND(ISNUMBER(D1000), OR(D1000&lt;0.01, D1000&gt;999999999)), AND(COUNTA(D1000:F1000, H1000:N1000)&gt;0, C1000=""""),                  
  AND(COUNTA(C1000, H1000:N1000)&gt;0, "&amp;"D1000=""""), LEN(H1000)&gt;50, AND(I1000&lt;&gt;"""", NOT(ISNUMBER(I1000))), AND(ISNUMBER(I1000), OR(I1000&lt;0, I1000&gt;99998)), AND(L1000&lt;&gt;"""", NOT(REGEXMATCH(L1000&amp;"""", ""^\d{8,14}$"")))), ""Erro"", """")"),"")</f>
      </c>
    </row>
  </sheetData>
  <mergeCells count="4">
    <mergeCell ref="C2:D2"/>
    <mergeCell ref="C4:D4"/>
    <mergeCell ref="E4:L4"/>
    <mergeCell ref="M4:O4"/>
  </mergeCells>
  <conditionalFormatting sqref="A7:C1000 D10:D313 E7:E1000">
    <cfRule type="expression" dxfId="3" priority="1">
      <formula>LEN(A7)&gt;60</formula>
    </cfRule>
  </conditionalFormatting>
  <conditionalFormatting sqref="D7:D1000">
    <cfRule type="cellIs" dxfId="3" priority="2" operator="notBetween">
      <formula>0.01</formula>
      <formula>999999999</formula>
    </cfRule>
  </conditionalFormatting>
  <conditionalFormatting sqref="D7:D1000">
    <cfRule type="expression" dxfId="3" priority="3">
      <formula>AND(NOT(ISNUMBER(D7)), D7&lt;&gt;"")</formula>
    </cfRule>
  </conditionalFormatting>
  <conditionalFormatting sqref="I7:J1000">
    <cfRule type="cellIs" dxfId="3" priority="4" operator="lessThan">
      <formula>0</formula>
    </cfRule>
  </conditionalFormatting>
  <conditionalFormatting sqref="A7:C1000">
    <cfRule type="expression" dxfId="3" priority="5">
      <formula>AND($C7="", COUNTA($D7:$F7, $H7:$N7)&gt;0)</formula>
    </cfRule>
  </conditionalFormatting>
  <conditionalFormatting sqref="D7:D1000">
    <cfRule type="expression" dxfId="3" priority="6">
      <formula>AND($D7="", COUNTA($C7:$F7, $H7:$N7)&gt;0)</formula>
    </cfRule>
  </conditionalFormatting>
  <conditionalFormatting sqref="P7:P1000">
    <cfRule type="expression" dxfId="4" priority="7">
      <formula>$P7&lt;&gt;""</formula>
    </cfRule>
  </conditionalFormatting>
  <conditionalFormatting sqref="A7:P1000">
    <cfRule type="expression" dxfId="5" priority="8">
      <formula>$P7&lt;&gt;""</formula>
    </cfRule>
  </conditionalFormatting>
  <conditionalFormatting sqref="G7:G1000">
    <cfRule type="cellIs" dxfId="6" priority="9" operator="lessThan">
      <formula>0</formula>
    </cfRule>
  </conditionalFormatting>
  <conditionalFormatting sqref="G7:G1000">
    <cfRule type="cellIs" dxfId="7" priority="10" operator="greaterThanOrEqual">
      <formula>0</formula>
    </cfRule>
  </conditionalFormatting>
  <conditionalFormatting sqref="B7:B1000">
    <cfRule type="notContainsBlanks" dxfId="8" priority="11">
      <formula>LEN(TRIM(B7))&gt;0</formula>
    </cfRule>
  </conditionalFormatting>
  <conditionalFormatting sqref="I7:I1000">
    <cfRule type="expression" dxfId="9" priority="12">
      <formula>AND((J7&lt;&gt;""),(I7&lt;J7))</formula>
    </cfRule>
  </conditionalFormatting>
  <conditionalFormatting sqref="E7:E1000">
    <cfRule type="expression" dxfId="7" priority="13">
      <formula>(A7&lt;&gt;"")</formula>
    </cfRule>
  </conditionalFormatting>
  <dataValidations count="10">
    <dataValidation allowBlank="true" prompt="El precio debe ser un número comprendido entre $0,01 y $999.999.999" showDropDown="true" showErrorMessage="true" showInputMessage="true" sqref="D7:D1000" type="custom">
      <formula1>OR(ISBLANK(D7), AND(ISNUMBER(D7), D7&gt;=0.01, D7&lt;=999999999))</formula1>
    </dataValidation>
    <dataValidation allowBlank="true" showErrorMessage="true" sqref="E232:E1000" type="list">
      <formula1>"Unidad (u.),Kilogramo (kg),Litro (L),Metro (m)"</formula1>
    </dataValidation>
    <dataValidation allowBlank="true" prompt="El stock no puede ser mayor a 99.998 o menor que 0." showDropDown="true" showErrorMessage="true" showInputMessage="true" sqref="I7:I1000" type="custom">
      <formula1>OR(ISBLANK(I7),   AND(ISNUMBER(I7), I7&gt;=0, I7&lt;=99998))</formula1>
    </dataValidation>
    <dataValidation allowBlank="true" prompt="El EAN / GTIN debe ser un número de 8 a 14 dígitos." showDropDown="true" showErrorMessage="true" showInputMessage="true" sqref="L7:L1000" type="custom">
      <formula1>OR(ISBLANK(L7), REGEXMATCH(L7&amp;"", "^\d{8,14}$"))</formula1>
    </dataValidation>
    <dataValidation allowBlank="true" showErrorMessage="true" sqref="M7:M1000" type="list">
      <formula1>"0%,16%,Exento"</formula1>
    </dataValidation>
    <dataValidation allowBlank="true" prompt="El custo debe ser un número comprendido entre $0,01 y $999.999.999" showDropDown="true" showErrorMessage="true" showInputMessage="true" sqref="F7:F1000" type="custom">
      <formula1>OR(ISBLANK(F7), AND(ISNUMBER(F7), F7&gt;=0.01, F7&lt;=999999999))</formula1>
    </dataValidation>
    <dataValidation allowBlank="true" prompt="Clique e digite um valor do intervalo" showErrorMessage="true" showInputMessage="true" sqref="K7:K1000" type="list">
      <formula1>'Tus secciones'!$B$6:B$205</formula1>
    </dataValidation>
    <dataValidation allowBlank="true" showErrorMessage="true" sqref="N7:N1000" type="list">
      <formula1>"0%,3%,6%,7%,8%"</formula1>
    </dataValidation>
    <dataValidation allowBlank="true" prompt="El código del producto debe ser unico e no debe exceder los 50 caracteres." showDropDown="true" showErrorMessage="true" showInputMessage="true" sqref="H7:H1000" type="custom">
      <formula1>AND(LEN(H7)&lt;=50,COUNTIF(H:H,H7)=1)</formula1>
    </dataValidation>
    <dataValidation allowBlank="true" prompt="El nombre del producto debe ser unico e tener entre 3 y 60 caracteres." showDropDown="true" showErrorMessage="true" showInputMessage="true" sqref="C7:C1000" type="custom">
      <formula1>AND(LEN(C7)&gt;=3,LEN(C7)&lt;=60,COUNTIF(C:C,C7)=1)</formula1>
    </dataValidation>
  </dataValidations>
  <hyperlinks>
    <hyperlink ref="C2" r:id="rId2"/>
  </hyperlinks>
  <printOptions/>
  <pageMargins left="0.7" right="0.7" top="0.75" bottom="0.75" header="0" footer="0"/>
  <pageSetup orientation="landscape"/>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sheetData>
    <row r="1">
      <c r="A1" s="47" t="s">
        <v>32</v>
      </c>
      <c r="B1" s="47" t="s">
        <v>702</v>
      </c>
    </row>
    <row r="2">
      <c r="A2" s="47" t="s">
        <v>33</v>
      </c>
      <c r="B2" s="47" t="s">
        <v>34</v>
      </c>
    </row>
    <row r="3">
      <c r="A3" s="47" t="s">
        <v>35</v>
      </c>
      <c r="B3" s="47" t="s">
        <v>36</v>
      </c>
    </row>
    <row r="4"/>
    <row r="5"/>
    <row r="6"/>
    <row r="7"/>
    <row r="8"/>
    <row r="9"/>
    <row r="10"/>
    <row r="11"/>
    <row r="12"/>
    <row r="13"/>
    <row r="14"/>
    <row r="15"/>
    <row r="16"/>
    <row r="17"/>
    <row r="18"/>
    <row r="19"/>
    <row r="20"/>
    <row r="21" ht="15.75" customHeight="true"/>
    <row r="22" ht="15.75" customHeight="true"/>
    <row r="23" ht="15.75" customHeight="true"/>
    <row r="24" ht="15.75" customHeight="true"/>
    <row r="25" ht="15.75" customHeight="true"/>
    <row r="26" ht="15.75" customHeight="true"/>
    <row r="27" ht="15.75" customHeight="true"/>
    <row r="28" ht="15.75" customHeight="true"/>
    <row r="29" ht="15.75" customHeight="true"/>
    <row r="30" ht="15.75" customHeight="true"/>
    <row r="31" ht="15.75" customHeight="true"/>
    <row r="32" ht="15.75" customHeight="true"/>
    <row r="33" ht="15.75" customHeight="true"/>
    <row r="34" ht="15.75" customHeight="true"/>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600"/>
    <outlinePr summaryBelow="false" summaryRight="false"/>
  </sheetPr>
  <sheetViews>
    <sheetView workbookViewId="0"/>
  </sheetViews>
  <sheetFormatPr defaultColWidth="12.63" defaultRowHeight="15" customHeight="true"/>
  <cols>
    <col customWidth="true" max="1" min="1" width="3.75"/>
    <col customWidth="true" max="2" min="2" width="58.38"/>
  </cols>
  <sheetData>
    <row r="1" ht="21" customHeight="true">
      <c r="A1" s="48"/>
      <c r="B1" s="49" t="s">
        <v>37</v>
      </c>
    </row>
    <row r="2" ht="39" customHeight="true">
      <c r="A2" s="48"/>
    </row>
    <row r="3" ht="48.75" customHeight="true">
      <c r="A3" s="48"/>
    </row>
    <row r="4" ht="12.75" customHeight="true">
      <c r="A4" s="48"/>
      <c r="B4" s="50"/>
    </row>
    <row r="5" ht="33.75" customHeight="true">
      <c r="A5" s="48"/>
      <c r="B5" s="51" t="s">
        <v>38</v>
      </c>
    </row>
    <row r="6" ht="18.75" customHeight="true">
      <c r="A6" s="52">
        <v>1.0</v>
      </c>
      <c r="B6" s="53" t="s">
        <v>486</v>
      </c>
    </row>
    <row r="7" ht="18.75" customHeight="true">
      <c r="A7" s="52">
        <v>2.0</v>
      </c>
      <c r="B7" s="53" t="s">
        <v>65</v>
      </c>
    </row>
    <row r="8" ht="18.75" customHeight="true">
      <c r="A8" s="52">
        <v>3.0</v>
      </c>
      <c r="B8" s="53" t="s">
        <v>80</v>
      </c>
    </row>
    <row r="9" ht="18.75" customHeight="true">
      <c r="A9" s="52">
        <v>4.0</v>
      </c>
      <c r="B9" s="53" t="s">
        <v>70</v>
      </c>
    </row>
    <row r="10" ht="18.75" customHeight="true">
      <c r="A10" s="52">
        <v>5.0</v>
      </c>
      <c r="B10" s="53" t="s">
        <v>54</v>
      </c>
    </row>
    <row r="11" ht="18.75" customHeight="true">
      <c r="A11" s="52">
        <v>6.0</v>
      </c>
      <c r="B11" s="53" t="s">
        <v>174</v>
      </c>
    </row>
    <row r="12" ht="18.75" customHeight="true">
      <c r="A12" s="52">
        <v>7.0</v>
      </c>
      <c r="B12" s="53" t="s">
        <v>43</v>
      </c>
    </row>
    <row r="13" ht="18.75" customHeight="true">
      <c r="A13" s="52">
        <v>8.0</v>
      </c>
      <c r="B13" s="53" t="s">
        <v>582</v>
      </c>
    </row>
    <row r="14" ht="18.75" customHeight="true">
      <c r="A14" s="52">
        <v>9.0</v>
      </c>
      <c r="B14" s="50"/>
    </row>
    <row r="15" ht="18.75" customHeight="true">
      <c r="A15" s="52">
        <v>10.0</v>
      </c>
      <c r="B15" s="50"/>
    </row>
    <row r="16" ht="18.75" customHeight="true">
      <c r="A16" s="52">
        <v>11.0</v>
      </c>
      <c r="B16" s="50"/>
    </row>
    <row r="17" ht="18.75" customHeight="true">
      <c r="A17" s="52">
        <v>12.0</v>
      </c>
      <c r="B17" s="50"/>
    </row>
    <row r="18" ht="18.75" customHeight="true">
      <c r="A18" s="52">
        <v>13.0</v>
      </c>
      <c r="B18" s="50"/>
    </row>
    <row r="19" ht="18.75" customHeight="true">
      <c r="A19" s="52">
        <v>14.0</v>
      </c>
      <c r="B19" s="50"/>
    </row>
    <row r="20" ht="18.75" customHeight="true">
      <c r="A20" s="52">
        <v>15.0</v>
      </c>
      <c r="B20" s="50"/>
    </row>
    <row r="21" ht="18.75" customHeight="true">
      <c r="A21" s="52">
        <v>16.0</v>
      </c>
      <c r="B21" s="50"/>
    </row>
    <row r="22" ht="18.75" customHeight="true">
      <c r="A22" s="52">
        <v>17.0</v>
      </c>
      <c r="B22" s="50"/>
    </row>
    <row r="23" ht="18.75" customHeight="true">
      <c r="A23" s="52">
        <v>18.0</v>
      </c>
      <c r="B23" s="50"/>
    </row>
    <row r="24" ht="18.75" customHeight="true">
      <c r="A24" s="52">
        <v>19.0</v>
      </c>
      <c r="B24" s="50"/>
    </row>
    <row r="25" ht="18.75" customHeight="true">
      <c r="A25" s="52">
        <v>20.0</v>
      </c>
      <c r="B25" s="50"/>
    </row>
    <row r="26" ht="18.75" customHeight="true">
      <c r="A26" s="52">
        <v>21.0</v>
      </c>
      <c r="B26" s="50"/>
    </row>
    <row r="27" ht="18.75" customHeight="true">
      <c r="A27" s="52">
        <v>22.0</v>
      </c>
      <c r="B27" s="52"/>
    </row>
    <row r="28" ht="18.75" customHeight="true">
      <c r="A28" s="52">
        <v>23.0</v>
      </c>
      <c r="B28" s="50"/>
    </row>
    <row r="29" ht="18.75" customHeight="true">
      <c r="A29" s="52">
        <v>24.0</v>
      </c>
      <c r="B29" s="50"/>
    </row>
    <row r="30" ht="18.75" customHeight="true">
      <c r="A30" s="52">
        <v>25.0</v>
      </c>
      <c r="B30" s="50"/>
    </row>
    <row r="31" ht="18.75" customHeight="true">
      <c r="A31" s="52">
        <v>26.0</v>
      </c>
      <c r="B31" s="50"/>
    </row>
    <row r="32" ht="18.75" customHeight="true">
      <c r="A32" s="52">
        <v>27.0</v>
      </c>
      <c r="B32" s="50"/>
    </row>
    <row r="33" ht="18.75" customHeight="true">
      <c r="A33" s="52">
        <v>28.0</v>
      </c>
      <c r="B33" s="50"/>
    </row>
    <row r="34" ht="18.75" customHeight="true">
      <c r="A34" s="52">
        <v>29.0</v>
      </c>
      <c r="B34" s="50"/>
    </row>
    <row r="35" ht="18.75" customHeight="true">
      <c r="A35" s="52">
        <v>30.0</v>
      </c>
      <c r="B35" s="50"/>
    </row>
    <row r="36" ht="18.75" customHeight="true">
      <c r="A36" s="52">
        <v>31.0</v>
      </c>
      <c r="B36" s="50"/>
    </row>
    <row r="37" ht="18.75" customHeight="true">
      <c r="A37" s="52">
        <v>32.0</v>
      </c>
      <c r="B37" s="50"/>
    </row>
    <row r="38" ht="18.75" customHeight="true">
      <c r="A38" s="52">
        <v>33.0</v>
      </c>
      <c r="B38" s="50"/>
    </row>
    <row r="39" ht="18.75" customHeight="true">
      <c r="A39" s="52">
        <v>34.0</v>
      </c>
      <c r="B39" s="50"/>
    </row>
    <row r="40" ht="18.75" customHeight="true">
      <c r="A40" s="52">
        <v>35.0</v>
      </c>
      <c r="B40" s="50"/>
    </row>
    <row r="41" ht="18.75" customHeight="true">
      <c r="A41" s="52">
        <v>36.0</v>
      </c>
      <c r="B41" s="50"/>
    </row>
    <row r="42" ht="18.75" customHeight="true">
      <c r="A42" s="52">
        <v>37.0</v>
      </c>
      <c r="B42" s="50"/>
    </row>
    <row r="43" ht="18.75" customHeight="true">
      <c r="A43" s="52">
        <v>38.0</v>
      </c>
      <c r="B43" s="50"/>
    </row>
    <row r="44" ht="18.75" customHeight="true">
      <c r="A44" s="52">
        <v>39.0</v>
      </c>
      <c r="B44" s="50"/>
    </row>
    <row r="45" ht="18.75" customHeight="true">
      <c r="A45" s="52">
        <v>40.0</v>
      </c>
      <c r="B45" s="50"/>
    </row>
    <row r="46" ht="18.75" customHeight="true">
      <c r="A46" s="52">
        <v>41.0</v>
      </c>
      <c r="B46" s="50"/>
    </row>
    <row r="47" ht="18.75" customHeight="true">
      <c r="A47" s="52">
        <v>42.0</v>
      </c>
      <c r="B47" s="50"/>
    </row>
    <row r="48" ht="18.75" customHeight="true">
      <c r="A48" s="52">
        <v>43.0</v>
      </c>
      <c r="B48" s="50"/>
    </row>
    <row r="49" ht="18.75" customHeight="true">
      <c r="A49" s="52">
        <v>44.0</v>
      </c>
      <c r="B49" s="50"/>
    </row>
    <row r="50" ht="18.75" customHeight="true">
      <c r="A50" s="52">
        <v>45.0</v>
      </c>
      <c r="B50" s="50"/>
    </row>
    <row r="51" ht="18.75" customHeight="true">
      <c r="A51" s="52">
        <v>46.0</v>
      </c>
      <c r="B51" s="50"/>
    </row>
    <row r="52" ht="18.75" customHeight="true">
      <c r="A52" s="52">
        <v>47.0</v>
      </c>
      <c r="B52" s="50"/>
    </row>
    <row r="53" ht="18.75" customHeight="true">
      <c r="A53" s="52">
        <v>48.0</v>
      </c>
      <c r="B53" s="50"/>
    </row>
    <row r="54" ht="18.75" customHeight="true">
      <c r="A54" s="52">
        <v>49.0</v>
      </c>
      <c r="B54" s="50"/>
    </row>
    <row r="55" ht="18.75" customHeight="true">
      <c r="A55" s="52">
        <v>50.0</v>
      </c>
      <c r="B55" s="50"/>
    </row>
    <row r="56" ht="15.75" customHeight="true">
      <c r="A56" s="52">
        <v>51.0</v>
      </c>
    </row>
    <row r="57" ht="15.75" customHeight="true">
      <c r="A57" s="52">
        <v>52.0</v>
      </c>
    </row>
    <row r="58" ht="15.75" customHeight="true">
      <c r="A58" s="52">
        <v>53.0</v>
      </c>
    </row>
    <row r="59" ht="15.75" customHeight="true">
      <c r="A59" s="52">
        <v>54.0</v>
      </c>
    </row>
    <row r="60" ht="15.75" customHeight="true">
      <c r="A60" s="52">
        <v>55.0</v>
      </c>
    </row>
    <row r="61" ht="15.75" customHeight="true">
      <c r="A61" s="52">
        <v>56.0</v>
      </c>
    </row>
    <row r="62" ht="15.75" customHeight="true">
      <c r="A62" s="52">
        <v>57.0</v>
      </c>
    </row>
    <row r="63" ht="15.75" customHeight="true">
      <c r="A63" s="52">
        <v>58.0</v>
      </c>
    </row>
    <row r="64" ht="15.75" customHeight="true">
      <c r="A64" s="52">
        <v>59.0</v>
      </c>
    </row>
    <row r="65" ht="15.75" customHeight="true">
      <c r="A65" s="52">
        <v>60.0</v>
      </c>
    </row>
    <row r="66" ht="15.75" customHeight="true">
      <c r="A66" s="52">
        <v>61.0</v>
      </c>
    </row>
    <row r="67" ht="15.75" customHeight="true">
      <c r="A67" s="52">
        <v>62.0</v>
      </c>
    </row>
    <row r="68" ht="15.75" customHeight="true">
      <c r="A68" s="52">
        <v>63.0</v>
      </c>
    </row>
    <row r="69" ht="15.75" customHeight="true">
      <c r="A69" s="52">
        <v>64.0</v>
      </c>
    </row>
    <row r="70" ht="15.75" customHeight="true">
      <c r="A70" s="52">
        <v>65.0</v>
      </c>
    </row>
    <row r="71" ht="15.75" customHeight="true">
      <c r="A71" s="52">
        <v>66.0</v>
      </c>
    </row>
    <row r="72" ht="15.75" customHeight="true">
      <c r="A72" s="52">
        <v>67.0</v>
      </c>
    </row>
    <row r="73" ht="15.75" customHeight="true">
      <c r="A73" s="52">
        <v>68.0</v>
      </c>
    </row>
    <row r="74" ht="15.75" customHeight="true">
      <c r="A74" s="52">
        <v>69.0</v>
      </c>
    </row>
    <row r="75" ht="15.75" customHeight="true">
      <c r="A75" s="52">
        <v>70.0</v>
      </c>
    </row>
    <row r="76" ht="15.75" customHeight="true">
      <c r="A76" s="52">
        <v>71.0</v>
      </c>
    </row>
    <row r="77" ht="15.75" customHeight="true">
      <c r="A77" s="52">
        <v>72.0</v>
      </c>
    </row>
    <row r="78" ht="15.75" customHeight="true">
      <c r="A78" s="52">
        <v>73.0</v>
      </c>
    </row>
    <row r="79" ht="15.75" customHeight="true">
      <c r="A79" s="52">
        <v>74.0</v>
      </c>
    </row>
    <row r="80" ht="15.75" customHeight="true">
      <c r="A80" s="52">
        <v>75.0</v>
      </c>
    </row>
    <row r="81" ht="15.75" customHeight="true">
      <c r="A81" s="52">
        <v>76.0</v>
      </c>
    </row>
    <row r="82" ht="15.75" customHeight="true">
      <c r="A82" s="52">
        <v>77.0</v>
      </c>
    </row>
    <row r="83" ht="15.75" customHeight="true">
      <c r="A83" s="52">
        <v>78.0</v>
      </c>
    </row>
    <row r="84" ht="15.75" customHeight="true">
      <c r="A84" s="52">
        <v>79.0</v>
      </c>
    </row>
    <row r="85" ht="15.75" customHeight="true">
      <c r="A85" s="52">
        <v>80.0</v>
      </c>
    </row>
    <row r="86" ht="15.75" customHeight="true">
      <c r="A86" s="52">
        <v>81.0</v>
      </c>
    </row>
    <row r="87" ht="15.75" customHeight="true">
      <c r="A87" s="52">
        <v>82.0</v>
      </c>
    </row>
    <row r="88" ht="15.75" customHeight="true">
      <c r="A88" s="52">
        <v>83.0</v>
      </c>
    </row>
    <row r="89" ht="15.75" customHeight="true">
      <c r="A89" s="52">
        <v>84.0</v>
      </c>
    </row>
    <row r="90" ht="15.75" customHeight="true">
      <c r="A90" s="52">
        <v>85.0</v>
      </c>
    </row>
    <row r="91" ht="15.75" customHeight="true">
      <c r="A91" s="52">
        <v>86.0</v>
      </c>
    </row>
    <row r="92" ht="15.75" customHeight="true">
      <c r="A92" s="52">
        <v>87.0</v>
      </c>
    </row>
    <row r="93" ht="15.75" customHeight="true">
      <c r="A93" s="52">
        <v>88.0</v>
      </c>
    </row>
    <row r="94" ht="15.75" customHeight="true">
      <c r="A94" s="52">
        <v>89.0</v>
      </c>
    </row>
    <row r="95" ht="15.75" customHeight="true">
      <c r="A95" s="52">
        <v>90.0</v>
      </c>
    </row>
    <row r="96" ht="15.75" customHeight="true">
      <c r="A96" s="52">
        <v>91.0</v>
      </c>
    </row>
    <row r="97" ht="15.75" customHeight="true">
      <c r="A97" s="52">
        <v>92.0</v>
      </c>
    </row>
    <row r="98" ht="15.75" customHeight="true">
      <c r="A98" s="52">
        <v>93.0</v>
      </c>
    </row>
    <row r="99" ht="15.75" customHeight="true">
      <c r="A99" s="52">
        <v>94.0</v>
      </c>
    </row>
    <row r="100" ht="15.75" customHeight="true">
      <c r="A100" s="52">
        <v>95.0</v>
      </c>
    </row>
    <row r="101" ht="15.75" customHeight="true">
      <c r="A101" s="52">
        <v>96.0</v>
      </c>
    </row>
    <row r="102" ht="15.75" customHeight="true">
      <c r="A102" s="52">
        <v>97.0</v>
      </c>
    </row>
    <row r="103" ht="15.75" customHeight="true">
      <c r="A103" s="52">
        <v>98.0</v>
      </c>
    </row>
    <row r="104" ht="15.75" customHeight="true">
      <c r="A104" s="52">
        <v>99.0</v>
      </c>
    </row>
    <row r="105" ht="15.75" customHeight="true">
      <c r="A105" s="52">
        <v>100.0</v>
      </c>
    </row>
    <row r="106" ht="15.75" customHeight="true">
      <c r="A106" s="52">
        <v>101.0</v>
      </c>
    </row>
    <row r="107" ht="15.75" customHeight="true">
      <c r="A107" s="52">
        <v>102.0</v>
      </c>
    </row>
    <row r="108" ht="15.75" customHeight="true">
      <c r="A108" s="52">
        <v>103.0</v>
      </c>
    </row>
    <row r="109" ht="15.75" customHeight="true">
      <c r="A109" s="52">
        <v>104.0</v>
      </c>
    </row>
    <row r="110" ht="15.75" customHeight="true">
      <c r="A110" s="52">
        <v>105.0</v>
      </c>
    </row>
    <row r="111" ht="15.75" customHeight="true">
      <c r="A111" s="52">
        <v>106.0</v>
      </c>
    </row>
    <row r="112" ht="15.75" customHeight="true">
      <c r="A112" s="52">
        <v>107.0</v>
      </c>
    </row>
    <row r="113" ht="15.75" customHeight="true">
      <c r="A113" s="52">
        <v>108.0</v>
      </c>
    </row>
    <row r="114" ht="15.75" customHeight="true">
      <c r="A114" s="52">
        <v>109.0</v>
      </c>
    </row>
    <row r="115" ht="15.75" customHeight="true">
      <c r="A115" s="52">
        <v>110.0</v>
      </c>
    </row>
    <row r="116" ht="15.75" customHeight="true">
      <c r="A116" s="52">
        <v>111.0</v>
      </c>
    </row>
    <row r="117" ht="15.75" customHeight="true">
      <c r="A117" s="52">
        <v>112.0</v>
      </c>
    </row>
    <row r="118" ht="15.75" customHeight="true">
      <c r="A118" s="52">
        <v>113.0</v>
      </c>
    </row>
    <row r="119" ht="15.75" customHeight="true">
      <c r="A119" s="52">
        <v>114.0</v>
      </c>
    </row>
    <row r="120" ht="15.75" customHeight="true">
      <c r="A120" s="52">
        <v>115.0</v>
      </c>
    </row>
    <row r="121" ht="15.75" customHeight="true">
      <c r="A121" s="52">
        <v>116.0</v>
      </c>
    </row>
    <row r="122" ht="15.75" customHeight="true">
      <c r="A122" s="52">
        <v>117.0</v>
      </c>
    </row>
    <row r="123" ht="15.75" customHeight="true">
      <c r="A123" s="52">
        <v>118.0</v>
      </c>
    </row>
    <row r="124" ht="15.75" customHeight="true">
      <c r="A124" s="52">
        <v>119.0</v>
      </c>
    </row>
    <row r="125" ht="15.75" customHeight="true">
      <c r="A125" s="52">
        <v>120.0</v>
      </c>
    </row>
    <row r="126" ht="15.75" customHeight="true">
      <c r="A126" s="52">
        <v>121.0</v>
      </c>
    </row>
    <row r="127" ht="15.75" customHeight="true">
      <c r="A127" s="52">
        <v>122.0</v>
      </c>
    </row>
    <row r="128" ht="15.75" customHeight="true">
      <c r="A128" s="52">
        <v>123.0</v>
      </c>
    </row>
    <row r="129" ht="15.75" customHeight="true">
      <c r="A129" s="52">
        <v>124.0</v>
      </c>
    </row>
    <row r="130" ht="15.75" customHeight="true">
      <c r="A130" s="52">
        <v>125.0</v>
      </c>
    </row>
    <row r="131" ht="15.75" customHeight="true">
      <c r="A131" s="52">
        <v>126.0</v>
      </c>
    </row>
    <row r="132" ht="15.75" customHeight="true">
      <c r="A132" s="52">
        <v>127.0</v>
      </c>
    </row>
    <row r="133" ht="15.75" customHeight="true">
      <c r="A133" s="52">
        <v>128.0</v>
      </c>
    </row>
    <row r="134" ht="15.75" customHeight="true">
      <c r="A134" s="52">
        <v>129.0</v>
      </c>
    </row>
    <row r="135" ht="15.75" customHeight="true">
      <c r="A135" s="52">
        <v>130.0</v>
      </c>
    </row>
    <row r="136" ht="15.75" customHeight="true">
      <c r="A136" s="52">
        <v>131.0</v>
      </c>
    </row>
    <row r="137" ht="15.75" customHeight="true">
      <c r="A137" s="52">
        <v>132.0</v>
      </c>
    </row>
    <row r="138" ht="15.75" customHeight="true">
      <c r="A138" s="52">
        <v>133.0</v>
      </c>
    </row>
    <row r="139" ht="15.75" customHeight="true">
      <c r="A139" s="52">
        <v>134.0</v>
      </c>
    </row>
    <row r="140" ht="15.75" customHeight="true">
      <c r="A140" s="52">
        <v>135.0</v>
      </c>
    </row>
    <row r="141" ht="15.75" customHeight="true">
      <c r="A141" s="52">
        <v>136.0</v>
      </c>
    </row>
    <row r="142" ht="15.75" customHeight="true">
      <c r="A142" s="52">
        <v>137.0</v>
      </c>
    </row>
    <row r="143" ht="15.75" customHeight="true">
      <c r="A143" s="52">
        <v>138.0</v>
      </c>
    </row>
    <row r="144" ht="15.75" customHeight="true">
      <c r="A144" s="52">
        <v>139.0</v>
      </c>
    </row>
    <row r="145" ht="15.75" customHeight="true">
      <c r="A145" s="52">
        <v>140.0</v>
      </c>
    </row>
    <row r="146" ht="15.75" customHeight="true">
      <c r="A146" s="52">
        <v>141.0</v>
      </c>
    </row>
    <row r="147" ht="15.75" customHeight="true">
      <c r="A147" s="52">
        <v>142.0</v>
      </c>
    </row>
    <row r="148" ht="15.75" customHeight="true">
      <c r="A148" s="52">
        <v>143.0</v>
      </c>
    </row>
    <row r="149" ht="15.75" customHeight="true">
      <c r="A149" s="52">
        <v>144.0</v>
      </c>
    </row>
    <row r="150" ht="15.75" customHeight="true">
      <c r="A150" s="52">
        <v>145.0</v>
      </c>
    </row>
    <row r="151" ht="15.75" customHeight="true">
      <c r="A151" s="52">
        <v>146.0</v>
      </c>
    </row>
    <row r="152" ht="15.75" customHeight="true">
      <c r="A152" s="52">
        <v>147.0</v>
      </c>
    </row>
    <row r="153" ht="15.75" customHeight="true">
      <c r="A153" s="52">
        <v>148.0</v>
      </c>
    </row>
    <row r="154" ht="15.75" customHeight="true">
      <c r="A154" s="52">
        <v>149.0</v>
      </c>
    </row>
    <row r="155" ht="15.75" customHeight="true">
      <c r="A155" s="52">
        <v>150.0</v>
      </c>
    </row>
    <row r="156" ht="15.75" customHeight="true">
      <c r="A156" s="52">
        <v>151.0</v>
      </c>
    </row>
    <row r="157" ht="15.75" customHeight="true">
      <c r="A157" s="52">
        <v>152.0</v>
      </c>
    </row>
    <row r="158" ht="15.75" customHeight="true">
      <c r="A158" s="52">
        <v>153.0</v>
      </c>
    </row>
    <row r="159" ht="15.75" customHeight="true">
      <c r="A159" s="52">
        <v>154.0</v>
      </c>
    </row>
    <row r="160" ht="15.75" customHeight="true">
      <c r="A160" s="52">
        <v>155.0</v>
      </c>
    </row>
    <row r="161" ht="15.75" customHeight="true">
      <c r="A161" s="52">
        <v>156.0</v>
      </c>
    </row>
    <row r="162" ht="15.75" customHeight="true">
      <c r="A162" s="52">
        <v>157.0</v>
      </c>
    </row>
    <row r="163" ht="15.75" customHeight="true">
      <c r="A163" s="52">
        <v>158.0</v>
      </c>
    </row>
    <row r="164" ht="15.75" customHeight="true">
      <c r="A164" s="52">
        <v>159.0</v>
      </c>
    </row>
    <row r="165" ht="15.75" customHeight="true">
      <c r="A165" s="52">
        <v>160.0</v>
      </c>
    </row>
    <row r="166" ht="15.75" customHeight="true">
      <c r="A166" s="52">
        <v>161.0</v>
      </c>
    </row>
    <row r="167" ht="15.75" customHeight="true">
      <c r="A167" s="52">
        <v>162.0</v>
      </c>
    </row>
    <row r="168" ht="15.75" customHeight="true">
      <c r="A168" s="52">
        <v>163.0</v>
      </c>
    </row>
    <row r="169" ht="15.75" customHeight="true">
      <c r="A169" s="52">
        <v>164.0</v>
      </c>
    </row>
    <row r="170" ht="15.75" customHeight="true">
      <c r="A170" s="52">
        <v>165.0</v>
      </c>
    </row>
    <row r="171" ht="15.75" customHeight="true">
      <c r="A171" s="52">
        <v>166.0</v>
      </c>
    </row>
    <row r="172" ht="15.75" customHeight="true">
      <c r="A172" s="52">
        <v>167.0</v>
      </c>
    </row>
    <row r="173" ht="15.75" customHeight="true">
      <c r="A173" s="52">
        <v>168.0</v>
      </c>
    </row>
    <row r="174" ht="15.75" customHeight="true">
      <c r="A174" s="52">
        <v>169.0</v>
      </c>
    </row>
    <row r="175" ht="15.75" customHeight="true">
      <c r="A175" s="52">
        <v>170.0</v>
      </c>
    </row>
    <row r="176" ht="15.75" customHeight="true">
      <c r="A176" s="52">
        <v>171.0</v>
      </c>
    </row>
    <row r="177" ht="15.75" customHeight="true">
      <c r="A177" s="52">
        <v>172.0</v>
      </c>
    </row>
    <row r="178" ht="15.75" customHeight="true">
      <c r="A178" s="52">
        <v>173.0</v>
      </c>
    </row>
    <row r="179" ht="15.75" customHeight="true">
      <c r="A179" s="52">
        <v>174.0</v>
      </c>
    </row>
    <row r="180" ht="15.75" customHeight="true">
      <c r="A180" s="52">
        <v>175.0</v>
      </c>
    </row>
    <row r="181" ht="15.75" customHeight="true">
      <c r="A181" s="52">
        <v>176.0</v>
      </c>
    </row>
    <row r="182" ht="15.75" customHeight="true">
      <c r="A182" s="52">
        <v>177.0</v>
      </c>
    </row>
    <row r="183" ht="15.75" customHeight="true">
      <c r="A183" s="52">
        <v>178.0</v>
      </c>
    </row>
    <row r="184" ht="15.75" customHeight="true">
      <c r="A184" s="52">
        <v>179.0</v>
      </c>
    </row>
    <row r="185" ht="15.75" customHeight="true">
      <c r="A185" s="52">
        <v>180.0</v>
      </c>
    </row>
    <row r="186" ht="15.75" customHeight="true">
      <c r="A186" s="52">
        <v>181.0</v>
      </c>
    </row>
    <row r="187" ht="15.75" customHeight="true">
      <c r="A187" s="52">
        <v>182.0</v>
      </c>
    </row>
    <row r="188" ht="15.75" customHeight="true">
      <c r="A188" s="52">
        <v>183.0</v>
      </c>
    </row>
    <row r="189" ht="15.75" customHeight="true">
      <c r="A189" s="52">
        <v>184.0</v>
      </c>
    </row>
    <row r="190" ht="15.75" customHeight="true">
      <c r="A190" s="52">
        <v>185.0</v>
      </c>
    </row>
    <row r="191" ht="15.75" customHeight="true">
      <c r="A191" s="52">
        <v>186.0</v>
      </c>
    </row>
    <row r="192" ht="15.75" customHeight="true">
      <c r="A192" s="52">
        <v>187.0</v>
      </c>
    </row>
    <row r="193" ht="15.75" customHeight="true">
      <c r="A193" s="52">
        <v>188.0</v>
      </c>
    </row>
    <row r="194" ht="15.75" customHeight="true">
      <c r="A194" s="52">
        <v>189.0</v>
      </c>
    </row>
    <row r="195" ht="15.75" customHeight="true">
      <c r="A195" s="52">
        <v>190.0</v>
      </c>
    </row>
    <row r="196" ht="15.75" customHeight="true">
      <c r="A196" s="52">
        <v>191.0</v>
      </c>
    </row>
    <row r="197" ht="15.75" customHeight="true">
      <c r="A197" s="52">
        <v>192.0</v>
      </c>
    </row>
    <row r="198" ht="15.75" customHeight="true">
      <c r="A198" s="52">
        <v>193.0</v>
      </c>
    </row>
    <row r="199" ht="15.75" customHeight="true">
      <c r="A199" s="52">
        <v>194.0</v>
      </c>
    </row>
    <row r="200" ht="15.75" customHeight="true">
      <c r="A200" s="52">
        <v>195.0</v>
      </c>
    </row>
    <row r="201" ht="15.75" customHeight="true">
      <c r="A201" s="52">
        <v>196.0</v>
      </c>
    </row>
    <row r="202" ht="15.75" customHeight="true">
      <c r="A202" s="52">
        <v>197.0</v>
      </c>
    </row>
    <row r="203" ht="15.75" customHeight="true">
      <c r="A203" s="52">
        <v>198.0</v>
      </c>
    </row>
    <row r="204" ht="15.75" customHeight="true">
      <c r="A204" s="52">
        <v>199.0</v>
      </c>
    </row>
    <row r="205" ht="15.75" customHeight="true">
      <c r="A205" s="52">
        <v>200.0</v>
      </c>
    </row>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1">
    <mergeCell ref="B1:B3"/>
  </mergeCells>
  <drawing r:id="rId1"/>
</worksheet>
</file>